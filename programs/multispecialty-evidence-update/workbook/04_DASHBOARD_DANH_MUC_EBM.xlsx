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ẮT_ĐẦU" sheetId="1" state="visible" r:id="rId1"/>
    <sheet xmlns:r="http://schemas.openxmlformats.org/officeDocument/2006/relationships" name="_DANH_SÁCH" sheetId="2" state="hidden" r:id="rId2"/>
    <sheet xmlns:r="http://schemas.openxmlformats.org/officeDocument/2006/relationships" name="DASHBOARD" sheetId="3" state="visible" r:id="rId3"/>
    <sheet xmlns:r="http://schemas.openxmlformats.org/officeDocument/2006/relationships" name="HƯỚNG_DẪN" sheetId="4" state="visible" r:id="rId4"/>
    <sheet xmlns:r="http://schemas.openxmlformats.org/officeDocument/2006/relationships" name="DANH_MỤC_DỰ_ÁN" sheetId="5" state="visible" r:id="rId5"/>
    <sheet xmlns:r="http://schemas.openxmlformats.org/officeDocument/2006/relationships" name="CÂU_HỎI" sheetId="6" state="visible" r:id="rId6"/>
    <sheet xmlns:r="http://schemas.openxmlformats.org/officeDocument/2006/relationships" name="NGUỒN" sheetId="7" state="visible" r:id="rId7"/>
    <sheet xmlns:r="http://schemas.openxmlformats.org/officeDocument/2006/relationships" name="INBOX" sheetId="8" state="visible" r:id="rId8"/>
    <sheet xmlns:r="http://schemas.openxmlformats.org/officeDocument/2006/relationships" name="PHIẾU_CẬP_NHẬT" sheetId="9" state="visible" r:id="rId9"/>
    <sheet xmlns:r="http://schemas.openxmlformats.org/officeDocument/2006/relationships" name="NHẬT_KÝ_QĐ" sheetId="10" state="visible" r:id="rId10"/>
    <sheet xmlns:r="http://schemas.openxmlformats.org/officeDocument/2006/relationships" name="CHECKLIST_90_NGÀY" sheetId="11" state="visible" r:id="rId11"/>
  </sheets>
  <definedNames>
    <definedName name="StatusProject">'_DANH_SÁCH'!$A$1:$A$5</definedName>
    <definedName name="YesNo">'_DANH_SÁCH'!$B$1:$B$2</definedName>
    <definedName name="Priority">'_DANH_SÁCH'!$C$1:$C$4</definedName>
    <definedName name="Decision">'_DANH_SÁCH'!$D$1:$D$7</definedName>
    <definedName name="Cadence">'_DANH_SÁCH'!$E$1:$E$6</definedName>
    <definedName name="CardStatus">'_DANH_SÁCH'!$F$1:$F$5</definedName>
    <definedName name="SourceType">'_DANH_SÁCH'!$G$1:$G$11</definedName>
    <definedName name="ScopeStatus">'_DANH_SÁCH'!$H$1:$H$3</definedName>
    <definedName name="Verification">'_DANH_SÁCH'!$I$1:$I$3</definedName>
    <definedName name="InboxStatus">'_DANH_SÁCH'!$J$1:$J$5</definedName>
    <definedName name="RiskOfBias">'_DANH_SÁCH'!$K$1:$K$5</definedName>
    <definedName name="PilotPhase">'_DANH_SÁCH'!$L$1:$L$11</definedName>
    <definedName name="_xlnm._FilterDatabase" localSheetId="0" hidden="1">'BẮT_ĐẦU'!$B$5:$E$11</definedName>
    <definedName name="_xlnm.Print_Area" localSheetId="0">'BẮT_ĐẦU'!$A$1:$H$28</definedName>
    <definedName name="_xlnm._FilterDatabase" localSheetId="4" hidden="1">'DANH_MỤC_DỰ_ÁN'!$A$4:$S$19</definedName>
  </definedNames>
  <calcPr calcId="124519" calcMode="auto" fullCalcOnLoad="1" forceFullCalc="1"/>
</workbook>
</file>

<file path=xl/styles.xml><?xml version="1.0" encoding="utf-8"?>
<styleSheet xmlns="http://schemas.openxmlformats.org/spreadsheetml/2006/main">
  <numFmts count="3">
    <numFmt numFmtId="164" formatCode="dd/mm/yyyy"/>
    <numFmt numFmtId="165" formatCode="yyyy-mm-dd"/>
    <numFmt numFmtId="166" formatCode="yyyy-mm-dd h:mm:ss"/>
  </numFmts>
  <fonts count="16">
    <font>
      <name val="Calibri"/>
      <family val="2"/>
      <color theme="1"/>
      <sz val="11"/>
      <scheme val="minor"/>
    </font>
    <font>
      <b val="1"/>
      <color rgb="00FFFFFF"/>
      <sz val="16"/>
    </font>
    <font>
      <i val="1"/>
      <color rgb="0017365D"/>
      <sz val="10"/>
    </font>
    <font>
      <b val="1"/>
      <color rgb="00FFFFFF"/>
    </font>
    <font>
      <b val="1"/>
      <color rgb="0017365D"/>
    </font>
    <font>
      <b val="1"/>
      <color rgb="0017365D"/>
      <sz val="12"/>
    </font>
    <font>
      <b val="1"/>
    </font>
    <font>
      <b val="1"/>
      <color rgb="00C00000"/>
    </font>
    <font>
      <b val="1"/>
      <sz val="12"/>
    </font>
    <font>
      <name val="Aptos Display"/>
      <b val="1"/>
      <color rgb="00FFFFFF"/>
      <sz val="20"/>
    </font>
    <font>
      <b val="1"/>
      <color rgb="001F4E78"/>
      <sz val="11"/>
    </font>
    <font>
      <b val="1"/>
      <color rgb="009C0006"/>
      <sz val="12"/>
    </font>
    <font>
      <b val="1"/>
      <color rgb="00FFFFFF"/>
      <sz val="13"/>
    </font>
    <font>
      <b val="1"/>
      <color rgb="001F4E78"/>
      <sz val="12"/>
    </font>
    <font>
      <b val="1"/>
      <color rgb="000563C1"/>
      <u val="single"/>
    </font>
    <font>
      <b val="1"/>
      <color rgb="009C0006"/>
    </font>
  </fonts>
  <fills count="16">
    <fill>
      <patternFill/>
    </fill>
    <fill>
      <patternFill patternType="gray125"/>
    </fill>
    <fill>
      <patternFill patternType="solid">
        <fgColor rgb="0017365D"/>
      </patternFill>
    </fill>
    <fill>
      <patternFill patternType="solid">
        <fgColor rgb="00D9EAF7"/>
      </patternFill>
    </fill>
    <fill>
      <patternFill patternType="solid">
        <fgColor rgb="002F75B5"/>
      </patternFill>
    </fill>
    <fill>
      <patternFill patternType="solid">
        <fgColor rgb="00F4CCCC"/>
      </patternFill>
    </fill>
    <fill>
      <patternFill patternType="solid">
        <fgColor rgb="00FCE4D6"/>
      </patternFill>
    </fill>
    <fill>
      <patternFill patternType="solid">
        <fgColor rgb="00FFF2CC"/>
      </patternFill>
    </fill>
    <fill>
      <patternFill patternType="solid">
        <fgColor rgb="00E2F0D9"/>
      </patternFill>
    </fill>
    <fill>
      <patternFill patternType="solid">
        <fgColor rgb="00E7E6E6"/>
      </patternFill>
    </fill>
    <fill>
      <patternFill patternType="solid">
        <fgColor rgb="00C00000"/>
      </patternFill>
    </fill>
    <fill>
      <patternFill patternType="solid">
        <fgColor rgb="001F4E78"/>
      </patternFill>
    </fill>
    <fill>
      <patternFill patternType="solid">
        <fgColor rgb="005B9BD5"/>
      </patternFill>
    </fill>
    <fill>
      <patternFill patternType="solid">
        <fgColor rgb="00EAF3F8"/>
      </patternFill>
    </fill>
    <fill>
      <patternFill patternType="solid">
        <fgColor rgb="00FFFFFF"/>
      </patternFill>
    </fill>
    <fill>
      <patternFill patternType="solid">
        <fgColor rgb="009C0006"/>
      </patternFill>
    </fill>
  </fills>
  <borders count="12">
    <border>
      <left/>
      <right/>
      <top/>
      <bottom/>
      <diagonal/>
    </border>
    <border>
      <bottom style="thin">
        <color rgb="00FFFFFF"/>
      </bottom>
    </border>
    <border>
      <bottom style="thin">
        <color rgb="009EBDD2"/>
      </bottom>
    </border>
    <border>
      <left style="thin">
        <color rgb="009EBDD2"/>
      </left>
      <right style="thin">
        <color rgb="009EBDD2"/>
      </right>
      <top style="thin">
        <color rgb="009EBDD2"/>
      </top>
      <bottom style="thin">
        <color rgb="009EBDD2"/>
      </bottom>
    </border>
    <border>
      <bottom style="thin">
        <color rgb="009C0006"/>
      </bottom>
    </border>
    <border>
      <left/>
      <right/>
      <top style="thin">
        <color rgb="009EBDD2"/>
      </top>
      <bottom/>
      <diagonal/>
    </border>
    <border>
      <left/>
      <right style="thin">
        <color rgb="009EBDD2"/>
      </right>
      <top style="thin">
        <color rgb="009EBDD2"/>
      </top>
      <bottom/>
      <diagonal/>
    </border>
    <border>
      <left/>
      <right style="thin">
        <color rgb="009EBDD2"/>
      </right>
      <top style="thin">
        <color rgb="009EBDD2"/>
      </top>
      <bottom style="thin">
        <color rgb="009EBDD2"/>
      </bottom>
      <diagonal/>
    </border>
    <border>
      <left/>
      <right/>
      <top/>
      <bottom style="thin">
        <color rgb="009EBDD2"/>
      </bottom>
      <diagonal/>
    </border>
    <border>
      <left/>
      <right/>
      <top/>
      <bottom style="thin">
        <color rgb="009C0006"/>
      </bottom>
      <diagonal/>
    </border>
    <border>
      <right/>
      <bottom style="thin">
        <color rgb="009EBDD2"/>
      </bottom>
    </border>
    <border>
      <right/>
      <bottom style="thin">
        <color rgb="009C0006"/>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3" fillId="4" borderId="0" applyAlignment="1" pivotButton="0" quotePrefix="0" xfId="0">
      <alignment horizontal="center"/>
    </xf>
    <xf numFmtId="0" fontId="4" fillId="3" borderId="0" applyAlignment="1" pivotButton="0" quotePrefix="0" xfId="0">
      <alignment vertical="center" wrapText="1"/>
    </xf>
    <xf numFmtId="0" fontId="8" fillId="7" borderId="0" applyAlignment="1" pivotButton="0" quotePrefix="0" xfId="0">
      <alignment vertical="center" wrapText="1"/>
    </xf>
    <xf numFmtId="0" fontId="0" fillId="8" borderId="0" applyAlignment="1" pivotButton="0" quotePrefix="0" xfId="0">
      <alignment vertical="center" wrapText="1"/>
    </xf>
    <xf numFmtId="0" fontId="0" fillId="9" borderId="0" pivotButton="0" quotePrefix="0" xfId="0"/>
    <xf numFmtId="0" fontId="0" fillId="7" borderId="0" pivotButton="0" quotePrefix="0" xfId="0"/>
    <xf numFmtId="9" fontId="8" fillId="7" borderId="0" applyAlignment="1" pivotButton="0" quotePrefix="0" xfId="0">
      <alignment vertical="center" wrapText="1"/>
    </xf>
    <xf numFmtId="0" fontId="3" fillId="10" borderId="0" pivotButton="0" quotePrefix="0" xfId="0"/>
    <xf numFmtId="0" fontId="7" fillId="5" borderId="0" applyAlignment="1" pivotButton="0" quotePrefix="0" xfId="0">
      <alignment vertical="top" wrapText="1"/>
    </xf>
    <xf numFmtId="0" fontId="7" fillId="0" borderId="0" pivotButton="0" quotePrefix="0" xfId="0"/>
    <xf numFmtId="0" fontId="4" fillId="3" borderId="0"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6" fillId="5"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3" borderId="0" pivotButton="0" quotePrefix="0" xfId="0"/>
    <xf numFmtId="0" fontId="9" fillId="11" borderId="0" applyAlignment="1" pivotButton="0" quotePrefix="0" xfId="0">
      <alignment horizontal="center" vertical="center"/>
    </xf>
    <xf numFmtId="0" fontId="10" fillId="3" borderId="0" applyAlignment="1" pivotButton="0" quotePrefix="0" xfId="0">
      <alignment horizontal="center" vertical="center"/>
    </xf>
    <xf numFmtId="0" fontId="11" fillId="7" borderId="0" applyAlignment="1" pivotButton="0" quotePrefix="0" xfId="0">
      <alignment horizontal="center"/>
    </xf>
    <xf numFmtId="0" fontId="12" fillId="11" borderId="0" pivotButton="0" quotePrefix="0" xfId="0"/>
    <xf numFmtId="0" fontId="3" fillId="12" borderId="2" applyAlignment="1" pivotButton="0" quotePrefix="0" xfId="0">
      <alignment horizontal="center" vertical="center"/>
    </xf>
    <xf numFmtId="0" fontId="0" fillId="13" borderId="2" applyAlignment="1" pivotButton="0" quotePrefix="0" xfId="0">
      <alignment vertical="center" wrapText="1"/>
    </xf>
    <xf numFmtId="0" fontId="0" fillId="7" borderId="2" applyAlignment="1" pivotButton="0" quotePrefix="0" xfId="0">
      <alignment vertical="center" wrapText="1"/>
    </xf>
    <xf numFmtId="0" fontId="0" fillId="14" borderId="2" applyAlignment="1" pivotButton="0" quotePrefix="0" xfId="0">
      <alignment vertical="center" wrapText="1"/>
    </xf>
    <xf numFmtId="0" fontId="0" fillId="8" borderId="2" applyAlignment="1" pivotButton="0" quotePrefix="0" xfId="0">
      <alignment vertical="center" wrapText="1"/>
    </xf>
    <xf numFmtId="164" fontId="0" fillId="8" borderId="2" applyAlignment="1" pivotButton="0" quotePrefix="0" xfId="0">
      <alignment vertical="center" wrapText="1"/>
    </xf>
    <xf numFmtId="0" fontId="13" fillId="8" borderId="2" applyAlignment="1" pivotButton="0" quotePrefix="0" xfId="0">
      <alignment vertical="center" wrapText="1"/>
    </xf>
    <xf numFmtId="0" fontId="14" fillId="13" borderId="3" applyAlignment="1" pivotButton="0" quotePrefix="0" xfId="0">
      <alignment horizontal="center" vertical="center" wrapText="1"/>
    </xf>
    <xf numFmtId="0" fontId="12" fillId="15" borderId="0" pivotButton="0" quotePrefix="0" xfId="0"/>
    <xf numFmtId="0" fontId="15" fillId="5" borderId="4" applyAlignment="1" pivotButton="0" quotePrefix="0" xfId="0">
      <alignment horizontal="center" vertical="center" wrapText="1"/>
    </xf>
    <xf numFmtId="0" fontId="0" fillId="0" borderId="8" pivotButton="0" quotePrefix="0" xfId="0"/>
    <xf numFmtId="0" fontId="0" fillId="0" borderId="7" pivotButton="0" quotePrefix="0" xfId="0"/>
    <xf numFmtId="0" fontId="0" fillId="0" borderId="9" pivotButton="0" quotePrefix="0" xfId="0"/>
    <xf numFmtId="0" fontId="13" fillId="8" borderId="10" applyAlignment="1" pivotButton="0" quotePrefix="0" xfId="0">
      <alignment vertical="center" wrapText="1"/>
    </xf>
    <xf numFmtId="0" fontId="15" fillId="5" borderId="11" applyAlignment="1" pivotButton="0" quotePrefix="0" xfId="0">
      <alignment horizontal="center" vertical="center"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dxfs count="4">
    <dxf>
      <fill>
        <patternFill patternType="solid">
          <fgColor rgb="00E2F0D9"/>
        </patternFill>
      </fill>
    </dxf>
    <dxf>
      <fill>
        <patternFill patternType="solid">
          <fgColor rgb="00F4CCCC"/>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Phân bố quyết định</a:t>
            </a:r>
          </a:p>
        </rich>
      </tx>
    </title>
    <plotArea>
      <barChart>
        <barDir val="col"/>
        <grouping val="clustered"/>
        <ser>
          <idx val="0"/>
          <order val="0"/>
          <tx>
            <strRef>
              <f>'DASHBOARD'!F4</f>
            </strRef>
          </tx>
          <spPr>
            <a:ln xmlns:a="http://schemas.openxmlformats.org/drawingml/2006/main">
              <a:prstDash val="solid"/>
            </a:ln>
          </spPr>
          <cat>
            <numRef>
              <f>'DASHBOARD'!$E$5:$E$11</f>
            </numRef>
          </cat>
          <val>
            <numRef>
              <f>'DASHBOARD'!$F$5:$F$11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Loại quyết định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phiếu</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12</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Projects" displayName="tblProjects" ref="A4:S19" headerRowCount="1">
  <autoFilter ref="A4:S19"/>
  <tableColumns count="19">
    <tableColumn id="1" name="Mã dự án"/>
    <tableColumn id="2" name="Chuyên ngành"/>
    <tableColumn id="3" name="Nhóm"/>
    <tableColumn id="4" name="Nguồn lõi gợi ý"/>
    <tableColumn id="5" name="Trưởng chuyên ngành"/>
    <tableColumn id="6" name="Phương pháp viên"/>
    <tableColumn id="7" name="Trạng thái"/>
    <tableColumn id="8" name="Nguy cơ an toàn (25%)"/>
    <tableColumn id="9" name="Gánh nặng bệnh (20%)"/>
    <tableColumn id="10" name="Tốc độ thay đổi (15%)"/>
    <tableColumn id="11" name="Biến thiên thực hành (15%)"/>
    <tableColumn id="12" name="Khả năng triển khai (15%)"/>
    <tableColumn id="13" name="Khả năng đo tác động (10%)"/>
    <tableColumn id="14" name="Điểm ưu tiên /100"/>
    <tableColumn id="15" name="Chọn thí điểm"/>
    <tableColumn id="16" name="Ngày bắt đầu"/>
    <tableColumn id="17" name="Ngày rà soát tiếp"/>
    <tableColumn id="18" name="Mục tiêu 90 ngày"/>
    <tableColumn id="19" name="Ghi chú"/>
  </tableColumns>
  <tableStyleInfo name="TableStyleMedium2" showFirstColumn="0" showLastColumn="0" showRowStripes="1" showColumnStripes="0"/>
</table>
</file>

<file path=xl/tables/table2.xml><?xml version="1.0" encoding="utf-8"?>
<table xmlns="http://schemas.openxmlformats.org/spreadsheetml/2006/main" id="2" name="tblQuestions" displayName="tblQuestions" ref="A4:S104" headerRowCount="1">
  <autoFilter ref="A4:S104"/>
  <tableColumns count="19">
    <tableColumn id="1" name="Mã câu hỏi"/>
    <tableColumn id="2" name="Mã dự án"/>
    <tableColumn id="3" name="Chủ đề"/>
    <tableColumn id="4" name="Population"/>
    <tableColumn id="5" name="Intervention/Index/Exposure"/>
    <tableColumn id="6" name="Comparator"/>
    <tableColumn id="7" name="Outcomes"/>
    <tableColumn id="8" name="Time/Setting"/>
    <tableColumn id="9" name="Baseline hiện tại"/>
    <tableColumn id="10" name="Phiên bản/ngày"/>
    <tableColumn id="11" name="PMID/DOI/URL"/>
    <tableColumn id="12" name="Chủ sở hữu lâm sàng"/>
    <tableColumn id="13" name="Phụ trách phương pháp"/>
    <tableColumn id="14" name="Nhịp giám sát"/>
    <tableColumn id="15" name="Lần rà soát gần nhất"/>
    <tableColumn id="16" name="Rà soát tiếp theo"/>
    <tableColumn id="17" name="Trạng thái"/>
    <tableColumn id="18" name="Ưu tiên"/>
    <tableColumn id="19" name="Ghi chú"/>
  </tableColumns>
  <tableStyleInfo name="TableStyleMedium2" showFirstColumn="0" showLastColumn="0" showRowStripes="1" showColumnStripes="0"/>
</table>
</file>

<file path=xl/tables/table3.xml><?xml version="1.0" encoding="utf-8"?>
<table xmlns="http://schemas.openxmlformats.org/spreadsheetml/2006/main" id="3" name="tblSources" displayName="tblSources" ref="A4:P104" headerRowCount="1">
  <autoFilter ref="A4:P104"/>
  <tableColumns count="16">
    <tableColumn id="1" name="Mã nguồn"/>
    <tableColumn id="2" name="Mã dự án"/>
    <tableColumn id="3" name="Mã câu hỏi"/>
    <tableColumn id="4" name="Tên nguồn"/>
    <tableColumn id="5" name="Loại nguồn"/>
    <tableColumn id="6" name="Tổ chức/tạp chí"/>
    <tableColumn id="7" name="URL chính thức"/>
    <tableColumn id="8" name="Phiên bản"/>
    <tableColumn id="9" name="Ngày ban hành/cập nhật"/>
    <tableColumn id="10" name="Ngày truy cập"/>
    <tableColumn id="11" name="DOI"/>
    <tableColumn id="12" name="PMID"/>
    <tableColumn id="13" name="Kênh alert"/>
    <tableColumn id="14" name="Nhịp kiểm tra"/>
    <tableColumn id="15" name="Đang dùng"/>
    <tableColumn id="16" name="Ghi chú"/>
  </tableColumns>
  <tableStyleInfo name="TableStyleMedium2" showFirstColumn="0" showLastColumn="0" showRowStripes="1" showColumnStripes="0"/>
</table>
</file>

<file path=xl/tables/table4.xml><?xml version="1.0" encoding="utf-8"?>
<table xmlns="http://schemas.openxmlformats.org/spreadsheetml/2006/main" id="4" name="tblInbox" displayName="tblInbox" ref="A4:R504" headerRowCount="1">
  <autoFilter ref="A4:R504"/>
  <tableColumns count="18">
    <tableColumn id="1" name="Mã tín hiệu"/>
    <tableColumn id="2" name="Ngày phát hiện"/>
    <tableColumn id="3" name="Mã dự án"/>
    <tableColumn id="4" name="Mã câu hỏi"/>
    <tableColumn id="5" name="Tiêu đề"/>
    <tableColumn id="6" name="Loại nguồn"/>
    <tableColumn id="7" name="DOI"/>
    <tableColumn id="8" name="PMID"/>
    <tableColumn id="9" name="URL"/>
    <tableColumn id="10" name="Trùng lặp"/>
    <tableColumn id="11" name="Phạm vi"/>
    <tableColumn id="12" name="Ưu tiên"/>
    <tableColumn id="13" name="Trạng thái"/>
    <tableColumn id="14" name="Người xử lý"/>
    <tableColumn id="15" name="Deadline SLA"/>
    <tableColumn id="16" name="Ngày hoàn tất"/>
    <tableColumn id="17" name="Số ngày xử lý"/>
    <tableColumn id="18" name="Ghi chú"/>
  </tableColumns>
  <tableStyleInfo name="TableStyleMedium2" showFirstColumn="0" showLastColumn="0" showRowStripes="1" showColumnStripes="0"/>
</table>
</file>

<file path=xl/tables/table5.xml><?xml version="1.0" encoding="utf-8"?>
<table xmlns="http://schemas.openxmlformats.org/spreadsheetml/2006/main" id="5" name="tblCards" displayName="tblCards" ref="A4:X504" headerRowCount="1">
  <autoFilter ref="A4:X504"/>
  <tableColumns count="24">
    <tableColumn id="1" name="Mã phiếu"/>
    <tableColumn id="2" name="Mã tín hiệu"/>
    <tableColumn id="3" name="Mã dự án"/>
    <tableColumn id="4" name="Mã câu hỏi"/>
    <tableColumn id="5" name="Tiêu đề"/>
    <tableColumn id="6" name="Kết luận một câu"/>
    <tableColumn id="7" name="Nguy cơ sai lệch"/>
    <tableColumn id="8" name="Nguồn mức chắc chắn"/>
    <tableColumn id="9" name="Khả năng áp dụng VN"/>
    <tableColumn id="10" name="Quyết định"/>
    <tableColumn id="11" name="Người soạn"/>
    <tableColumn id="12" name="Duyệt lâm sàng"/>
    <tableColumn id="13" name="Duyệt phương pháp"/>
    <tableColumn id="14" name="Ngày quyết định"/>
    <tableColumn id="15" name="Hành động"/>
    <tableColumn id="16" name="Người phụ trách"/>
    <tableColumn id="17" name="Hạn hành động"/>
    <tableColumn id="18" name="Ngày rà soát lại"/>
    <tableColumn id="19" name="Trạng thái"/>
    <tableColumn id="20" name="Nguồn xác minh"/>
    <tableColumn id="21" name="An toàn đã kiểm"/>
    <tableColumn id="22" name="Bối cảnh đã kiểm"/>
    <tableColumn id="23" name="Ngày phát hành"/>
    <tableColumn id="24" name="Ghi chú"/>
  </tableColumns>
  <tableStyleInfo name="TableStyleMedium2" showFirstColumn="0" showLastColumn="0" showRowStripes="1" showColumnStripes="0"/>
</table>
</file>

<file path=xl/tables/table6.xml><?xml version="1.0" encoding="utf-8"?>
<table xmlns="http://schemas.openxmlformats.org/spreadsheetml/2006/main" id="6" name="tblDecisions" displayName="tblDecisions" ref="A4:O504" headerRowCount="1">
  <autoFilter ref="A4:O504"/>
  <tableColumns count="15">
    <tableColumn id="1" name="Mã quyết định"/>
    <tableColumn id="2" name="Mã phiếu"/>
    <tableColumn id="3" name="Ngày"/>
    <tableColumn id="4" name="Mã dự án"/>
    <tableColumn id="5" name="Mã câu hỏi"/>
    <tableColumn id="6" name="Quyết định"/>
    <tableColumn id="7" name="Lý do"/>
    <tableColumn id="8" name="Nguồn hỗ trợ"/>
    <tableColumn id="9" name="Người đề xuất"/>
    <tableColumn id="10" name="Người duyệt"/>
    <tableColumn id="11" name="Cấp phê duyệt"/>
    <tableColumn id="12" name="Hành động"/>
    <tableColumn id="13" name="Hạn"/>
    <tableColumn id="14" name="Rà soát lại"/>
    <tableColumn id="15" name="Ghi chú"/>
  </tableColumns>
  <tableStyleInfo name="TableStyleMedium2" showFirstColumn="0" showLastColumn="0" showRowStripes="1" showColumnStripes="0"/>
</table>
</file>

<file path=xl/tables/table7.xml><?xml version="1.0" encoding="utf-8"?>
<table xmlns="http://schemas.openxmlformats.org/spreadsheetml/2006/main" id="7" name="tblChecklist" displayName="tblChecklist" ref="A4:H15" headerRowCount="1">
  <autoFilter ref="A4:H15"/>
  <tableColumns count="8">
    <tableColumn id="1" name="Giai đoạn"/>
    <tableColumn id="2" name="Công việc"/>
    <tableColumn id="3" name="Kết quả bàn giao"/>
    <tableColumn id="4" name="Người phụ trách"/>
    <tableColumn id="5" name="Deadline"/>
    <tableColumn id="6" name="Trạng thái"/>
    <tableColumn id="7" name="Bằng chứng/link"/>
    <tableColumn id="8" name="Ghi chú"/>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rgb="001F4E78"/>
    <outlinePr summaryBelow="1" summaryRight="1"/>
    <pageSetUpPr fitToPage="1"/>
  </sheetPr>
  <dimension ref="A1:H28"/>
  <sheetViews>
    <sheetView showGridLines="0" workbookViewId="0">
      <pane ySplit="4" topLeftCell="A5" activePane="bottomLeft" state="frozen"/>
      <selection pane="bottomLeft" activeCell="A1" sqref="A1"/>
    </sheetView>
  </sheetViews>
  <sheetFormatPr baseColWidth="8" defaultRowHeight="15"/>
  <cols>
    <col width="3" customWidth="1" min="1" max="1"/>
    <col width="35" customWidth="1" min="2" max="2"/>
    <col width="26" customWidth="1" min="3" max="3"/>
    <col width="24" customWidth="1" min="4" max="4"/>
    <col width="24" customWidth="1" min="5" max="5"/>
    <col width="24" customWidth="1" min="6" max="6"/>
    <col width="24" customWidth="1" min="7" max="7"/>
    <col width="24" customWidth="1" min="8" max="8"/>
  </cols>
  <sheetData>
    <row r="1" ht="34" customHeight="1">
      <c r="A1" s="22" t="inlineStr">
        <is>
          <t>BẮT ĐẦU — CHƯƠNG TRÌNH CẬP NHẬT CHỨNG CỨ ĐA CHUYÊN NGÀNH</t>
        </is>
      </c>
    </row>
    <row r="2" ht="25" customHeight="1">
      <c r="A2" s="23" t="inlineStr">
        <is>
          <t>Điền 4 vai trò → chọn đúng 2 dự án → mỗi tuần đi theo INBOX → PHIẾU → NGƯỜI DUYỆT → NHẬT KÝ QĐ</t>
        </is>
      </c>
    </row>
    <row r="3">
      <c r="A3" s="24" t="inlineStr">
        <is>
          <t>DRAFT — CHƯA DUYỆT</t>
        </is>
      </c>
    </row>
    <row r="4">
      <c r="B4" s="25" t="inlineStr">
        <is>
          <t>1. THIẾT LẬP MỘT LẦN — chỉ chọn chuyên ngành sau khi đủ vai trò</t>
        </is>
      </c>
    </row>
    <row r="5">
      <c r="B5" s="26" t="inlineStr">
        <is>
          <t>Vai trò bắt buộc</t>
        </is>
      </c>
      <c r="C5" s="26" t="inlineStr">
        <is>
          <t>Người/đầu mối</t>
        </is>
      </c>
      <c r="D5" s="26" t="inlineStr">
        <is>
          <t>Trạng thái</t>
        </is>
      </c>
      <c r="E5" s="26" t="inlineStr">
        <is>
          <t>Ghi chú</t>
        </is>
      </c>
    </row>
    <row r="6" ht="28" customHeight="1">
      <c r="B6" s="27" t="inlineStr">
        <is>
          <t>Chủ Chương trình</t>
        </is>
      </c>
      <c r="C6" s="27" t="inlineStr">
        <is>
          <t>Người dùng — tự phụ trách</t>
        </is>
      </c>
      <c r="D6" s="28" t="inlineStr">
        <is>
          <t>ĐÃ XÁC NHẬN</t>
        </is>
      </c>
      <c r="E6" s="27" t="inlineStr">
        <is>
          <t>Mặc định dùng cho mọi dự án; không cần thiết lập lại</t>
        </is>
      </c>
    </row>
    <row r="7" ht="28" customHeight="1">
      <c r="B7" s="29" t="inlineStr">
        <is>
          <t>Người/cấp phê duyệt thay đổi thực hành</t>
        </is>
      </c>
      <c r="C7" s="29" t="inlineStr">
        <is>
          <t>Người dùng — tự phụ trách</t>
        </is>
      </c>
      <c r="D7" s="28" t="inlineStr">
        <is>
          <t>ĐÃ XÁC NHẬN</t>
        </is>
      </c>
      <c r="E7" s="29" t="inlineStr">
        <is>
          <t>Người quyết định thực hành lâm sàng mặc định; mọi quyết định phải ghi NHẬT_KÝ_QĐ</t>
        </is>
      </c>
    </row>
    <row r="8" ht="28" customHeight="1">
      <c r="B8" s="27" t="inlineStr">
        <is>
          <t>Phương pháp viên/evidence analyst</t>
        </is>
      </c>
      <c r="C8" s="27" t="inlineStr">
        <is>
          <t>Người dùng — tự phụ trách</t>
        </is>
      </c>
      <c r="D8" s="28" t="inlineStr">
        <is>
          <t>ĐÃ XÁC NHẬN</t>
        </is>
      </c>
      <c r="E8" s="27" t="inlineStr">
        <is>
          <t>Phương pháp viên mặc định cho mọi dự án; không thay thế bác sĩ chuyên ngành</t>
        </is>
      </c>
    </row>
    <row r="9" ht="28" customHeight="1">
      <c r="B9" s="29" t="inlineStr">
        <is>
          <t>Đầu mối nhận chuyển cấp P0/P1</t>
        </is>
      </c>
      <c r="C9" s="29" t="inlineStr">
        <is>
          <t>Người dùng — tự phụ trách</t>
        </is>
      </c>
      <c r="D9" s="28" t="inlineStr">
        <is>
          <t>ĐÃ XÁC NHẬN</t>
        </is>
      </c>
      <c r="E9" s="29" t="inlineStr">
        <is>
          <t>Đầu mối P0/P1 mặc định; tiếp nhận, chuyển đúng thẩm quyền và theo dõi đến khi đóng</t>
        </is>
      </c>
    </row>
    <row r="10">
      <c r="B10" s="30" t="inlineStr">
        <is>
          <t>Lịch họp Evidence Inbox hàng tuần</t>
        </is>
      </c>
      <c r="C10" s="30" t="inlineStr">
        <is>
          <t>Thứ Hai 07:30 (Asia/Ho_Chi_Minh)</t>
        </is>
      </c>
      <c r="D10" s="30" t="inlineStr">
        <is>
          <t>ĐÃ LÊN LỊCH</t>
        </is>
      </c>
      <c r="E10" t="inlineStr">
        <is>
          <t>Automation: c-p-nh-t-ebm-tim-m-ch-v-n-i-ti-t · 15 chuyên ngành · rà an toàn toàn cục + chuyên sâu tuần tự</t>
        </is>
      </c>
    </row>
    <row r="11">
      <c r="B11" s="30" t="inlineStr">
        <is>
          <t>Ngày bắt đầu dự kiến</t>
        </is>
      </c>
      <c r="C11" s="31" t="inlineStr"/>
      <c r="D11" s="30" t="inlineStr">
        <is>
          <t>Không nhập dữ liệu người bệnh</t>
        </is>
      </c>
    </row>
    <row r="13">
      <c r="B13" s="25" t="inlineStr">
        <is>
          <t>2. BA VIỆC TIẾP THEO — workbook tự nhắc theo tiến độ</t>
        </is>
      </c>
    </row>
    <row r="14" ht="30" customHeight="1">
      <c r="B14" s="39">
        <f>IF(COUNTIF(D6:D9,"ĐÃ XÁC NHẬN")&lt;4,"1. Điền và xác nhận đủ 4 vai trò ở trên",IF(COUNTIF('DANH_MỤC_DỰ_ÁN'!O5:O200,"Có")&lt;&gt;2,"1. Chấm điểm và chọn đúng 2 dự án trong DANH_MỤC_DỰ_ÁN","1. Kiểm tra P0/P1 đang mở trong INBOX"))</f>
        <v/>
      </c>
      <c r="C14" s="36" t="n"/>
      <c r="D14" s="36" t="n"/>
      <c r="E14" s="36" t="n"/>
      <c r="F14" s="36" t="n"/>
      <c r="G14" s="36" t="n"/>
      <c r="H14" s="36" t="n"/>
    </row>
    <row r="15" ht="30" customHeight="1">
      <c r="B15" s="39">
        <f>IF(COUNTIF(D6:D9,"ĐÃ XÁC NHẬN")&lt;4,"2. Chưa chọn chuyên ngành",IF(COUNTIF('DANH_MỤC_DỰ_ÁN'!O5:O200,"Có")&lt;&gt;2,"2. Giữ các dự án ở trạng thái Chưa bắt đầu cho đến khi được chọn","2. Mỗi dự án tạo 5–8 câu hỏi trong CÂU_HỎI"))</f>
        <v/>
      </c>
      <c r="C15" s="36" t="n"/>
      <c r="D15" s="36" t="n"/>
      <c r="E15" s="36" t="n"/>
      <c r="F15" s="36" t="n"/>
      <c r="G15" s="36" t="n"/>
      <c r="H15" s="36" t="n"/>
    </row>
    <row r="16" ht="30" customHeight="1">
      <c r="B16" s="39">
        <f>IF(COUNTIF(D6:D9,"ĐÃ XÁC NHẬN")&lt;4,"3. Hoàn thành Tuần 1 trong CHECKLIST_90_NGÀY",IF(COUNTIF('DANH_MỤC_DỰ_ÁN'!O5:O200,"Có")&lt;&gt;2,"3. Ghi quyết định chọn dự án vào CHECKLIST_90_NGÀY","3. Cập nhật INBOX và NHẬT_KÝ_QĐ hằng tuần"))</f>
        <v/>
      </c>
      <c r="C16" s="36" t="n"/>
      <c r="D16" s="36" t="n"/>
      <c r="E16" s="36" t="n"/>
      <c r="F16" s="36" t="n"/>
      <c r="G16" s="36" t="n"/>
      <c r="H16" s="36" t="n"/>
    </row>
    <row r="18">
      <c r="B18" s="25" t="inlineStr">
        <is>
          <t>3. LIÊN KẾT NHANH — bấm để đến đúng nơi cập nhật</t>
        </is>
      </c>
    </row>
    <row r="19" ht="34" customHeight="1">
      <c r="B19" s="33" t="inlineStr">
        <is>
          <t>Đọc hướng dẫn workbook</t>
        </is>
      </c>
      <c r="C19" s="37" t="n"/>
      <c r="D19" s="33" t="inlineStr">
        <is>
          <t>Chấm và chọn đúng 2 dự án</t>
        </is>
      </c>
      <c r="E19" s="37" t="n"/>
      <c r="F19" s="33" t="inlineStr">
        <is>
          <t>Quản lý danh mục câu hỏi</t>
        </is>
      </c>
      <c r="G19" s="37" t="n"/>
    </row>
    <row r="20" ht="34" customHeight="1">
      <c r="B20" s="33" t="inlineStr">
        <is>
          <t>Đăng ký nguồn theo dõi</t>
        </is>
      </c>
      <c r="C20" s="37" t="n"/>
      <c r="D20" s="33" t="inlineStr">
        <is>
          <t>Xử lý Evidence Inbox</t>
        </is>
      </c>
      <c r="E20" s="37" t="n"/>
      <c r="F20" s="33" t="inlineStr">
        <is>
          <t>Theo dõi Evidence Update Card</t>
        </is>
      </c>
      <c r="G20" s="37" t="n"/>
    </row>
    <row r="21" ht="34" customHeight="1">
      <c r="B21" s="33" t="inlineStr">
        <is>
          <t>Ghi nhật ký quyết định</t>
        </is>
      </c>
      <c r="C21" s="37" t="n"/>
      <c r="D21" s="33" t="inlineStr">
        <is>
          <t>Cập nhật checklist 90 ngày</t>
        </is>
      </c>
      <c r="E21" s="37" t="n"/>
      <c r="F21" s="33" t="inlineStr">
        <is>
          <t>Xem dashboard tổng hợp</t>
        </is>
      </c>
      <c r="G21" s="37" t="n"/>
    </row>
    <row r="24">
      <c r="B24" s="34" t="inlineStr">
        <is>
          <t>4. RÀO CỨNG — không được bỏ qua</t>
        </is>
      </c>
    </row>
    <row r="25" ht="24" customHeight="1">
      <c r="B25" s="40" t="inlineStr">
        <is>
          <t>DRAFT — CHƯA DUYỆT</t>
        </is>
      </c>
      <c r="C25" s="38" t="n"/>
      <c r="D25" s="38" t="n"/>
      <c r="E25" s="38" t="n"/>
      <c r="F25" s="38" t="n"/>
      <c r="G25" s="38" t="n"/>
      <c r="H25" s="38" t="n"/>
    </row>
    <row r="26" ht="24" customHeight="1">
      <c r="B26" s="40" t="inlineStr">
        <is>
          <t>KHÔNG TỰ ĐỔI THỰC HÀNH/PATHWAY/PHÁC ĐỒ; KHÔNG TỰ GÁN GRADE</t>
        </is>
      </c>
      <c r="C26" s="38" t="n"/>
      <c r="D26" s="38" t="n"/>
      <c r="E26" s="38" t="n"/>
      <c r="F26" s="38" t="n"/>
      <c r="G26" s="38" t="n"/>
      <c r="H26" s="38" t="n"/>
    </row>
    <row r="27" ht="24" customHeight="1">
      <c r="B27" s="40" t="inlineStr">
        <is>
          <t>KHÔNG LƯU PII/THÔNG TIN ĐỊNH DANH NGƯỜI BỆNH</t>
        </is>
      </c>
      <c r="C27" s="38" t="n"/>
      <c r="D27" s="38" t="n"/>
      <c r="E27" s="38" t="n"/>
      <c r="F27" s="38" t="n"/>
      <c r="G27" s="38" t="n"/>
      <c r="H27" s="38" t="n"/>
    </row>
    <row r="28" ht="24" customHeight="1">
      <c r="B28" s="40" t="inlineStr">
        <is>
          <t>P0/P1 PHẢI CHUYỂN BÁC SĨ/NGƯỜI CÓ THẨM QUYỀN</t>
        </is>
      </c>
      <c r="C28" s="38" t="n"/>
      <c r="D28" s="38" t="n"/>
      <c r="E28" s="38" t="n"/>
      <c r="F28" s="38" t="n"/>
      <c r="G28" s="38" t="n"/>
      <c r="H28" s="38" t="n"/>
    </row>
  </sheetData>
  <autoFilter ref="B5:E11"/>
  <mergeCells count="23">
    <mergeCell ref="D20:E20"/>
    <mergeCell ref="D19:E19"/>
    <mergeCell ref="F19:G19"/>
    <mergeCell ref="B24:H24"/>
    <mergeCell ref="B15:H15"/>
    <mergeCell ref="A1:H1"/>
    <mergeCell ref="D21:E21"/>
    <mergeCell ref="F21:G21"/>
    <mergeCell ref="B21:C21"/>
    <mergeCell ref="B26:H26"/>
    <mergeCell ref="B4:H4"/>
    <mergeCell ref="F20:G20"/>
    <mergeCell ref="B16:H16"/>
    <mergeCell ref="B25:H25"/>
    <mergeCell ref="A3:H3"/>
    <mergeCell ref="B18:H18"/>
    <mergeCell ref="B27:H27"/>
    <mergeCell ref="B19:C19"/>
    <mergeCell ref="A2:H2"/>
    <mergeCell ref="B14:H14"/>
    <mergeCell ref="B13:H13"/>
    <mergeCell ref="B20:C20"/>
    <mergeCell ref="B28:H28"/>
  </mergeCells>
  <conditionalFormatting sqref="D6:D9">
    <cfRule type="expression" priority="1" dxfId="0">
      <formula>D6="ĐÃ XÁC NHẬN"</formula>
    </cfRule>
  </conditionalFormatting>
  <dataValidations count="1">
    <dataValidation sqref="D6:D9" showDropDown="0" showInputMessage="0" showErrorMessage="0" allowBlank="0" errorTitle="Trạng thái không hợp lệ" error="Chỉ chọn CHƯA XÁC NHẬN hoặc ĐÃ XÁC NHẬN." promptTitle="Chốt trách nhiệm" prompt="Chỉ xác nhận sau khi người/cấp tương ứng đã nhận trách nhiệm." type="list">
      <formula1>"CHƯA XÁC NHẬN,ĐÃ XÁC NHẬN"</formula1>
    </dataValidation>
  </dataValidations>
  <hyperlinks>
    <hyperlink ref="B19" location="'HƯỚNG_DẪN'!A1" display="Đọc hướng dẫn workbook"/>
    <hyperlink ref="D19" location="'DANH_MỤC_DỰ_ÁN'!A1" display="Chấm và chọn đúng 2 dự án"/>
    <hyperlink ref="F19" location="'CÂU_HỎI'!A1" display="Quản lý danh mục câu hỏi"/>
    <hyperlink ref="B20" location="'NGUỒN'!A1" display="Đăng ký nguồn theo dõi"/>
    <hyperlink ref="D20" location="'INBOX'!A1" display="Xử lý Evidence Inbox"/>
    <hyperlink ref="F20" location="'PHIẾU_CẬP_NHẬT'!A1" display="Theo dõi Evidence Update Card"/>
    <hyperlink ref="B21" location="'NHẬT_KÝ_QĐ'!A1" display="Ghi nhật ký quyết định"/>
    <hyperlink ref="D21" location="'CHECKLIST_90_NGÀY'!A1" display="Cập nhật checklist 90 ngày"/>
    <hyperlink ref="F21" location="'DASHBOARD'!A1" display="Xem dashboard tổng hợp"/>
  </hyperlink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L11"/>
  <sheetViews>
    <sheetView showGridLines="0" workbookViewId="0">
      <selection activeCell="A1" sqref="A1"/>
    </sheetView>
  </sheetViews>
  <sheetFormatPr baseColWidth="8" defaultRowHeight="15"/>
  <sheetData>
    <row r="1">
      <c r="A1" t="inlineStr">
        <is>
          <t>Chưa bắt đầu</t>
        </is>
      </c>
      <c r="B1" t="inlineStr">
        <is>
          <t>Có</t>
        </is>
      </c>
      <c r="C1" t="inlineStr">
        <is>
          <t>P0</t>
        </is>
      </c>
      <c r="D1" t="inlineStr">
        <is>
          <t>NO CHANGE</t>
        </is>
      </c>
      <c r="E1" t="inlineStr">
        <is>
          <t>Liên tục</t>
        </is>
      </c>
      <c r="F1" t="inlineStr">
        <is>
          <t>DRAFT — CHƯA DUYỆT</t>
        </is>
      </c>
      <c r="G1" t="inlineStr">
        <is>
          <t>Guideline</t>
        </is>
      </c>
      <c r="H1" t="inlineStr">
        <is>
          <t>Trong phạm vi</t>
        </is>
      </c>
      <c r="I1" t="inlineStr">
        <is>
          <t>Đã xác minh</t>
        </is>
      </c>
      <c r="J1" t="inlineStr">
        <is>
          <t>Mở</t>
        </is>
      </c>
      <c r="K1" t="inlineStr">
        <is>
          <t>Thấp</t>
        </is>
      </c>
      <c r="L1" t="inlineStr">
        <is>
          <t>Tuần 1</t>
        </is>
      </c>
    </row>
    <row r="2">
      <c r="A2" t="inlineStr">
        <is>
          <t>Đang thiết lập</t>
        </is>
      </c>
      <c r="B2" t="inlineStr">
        <is>
          <t>Không</t>
        </is>
      </c>
      <c r="C2" t="inlineStr">
        <is>
          <t>P1</t>
        </is>
      </c>
      <c r="D2" t="inlineStr">
        <is>
          <t>WATCH</t>
        </is>
      </c>
      <c r="E2" t="inlineStr">
        <is>
          <t>Hàng tháng</t>
        </is>
      </c>
      <c r="F2" t="inlineStr">
        <is>
          <t>Đang duyệt</t>
        </is>
      </c>
      <c r="G2" t="inlineStr">
        <is>
          <t>Systematic review</t>
        </is>
      </c>
      <c r="H2" t="inlineStr">
        <is>
          <t>Ngoài phạm vi</t>
        </is>
      </c>
      <c r="I2" t="inlineStr">
        <is>
          <t>Chưa xác minh</t>
        </is>
      </c>
      <c r="J2" t="inlineStr">
        <is>
          <t>Đang xử lý</t>
        </is>
      </c>
      <c r="K2" t="inlineStr">
        <is>
          <t>Một số lo ngại</t>
        </is>
      </c>
      <c r="L2" t="inlineStr">
        <is>
          <t>Tuần 2</t>
        </is>
      </c>
    </row>
    <row r="3">
      <c r="A3" t="inlineStr">
        <is>
          <t>Đang hoạt động</t>
        </is>
      </c>
      <c r="C3" t="inlineStr">
        <is>
          <t>P2</t>
        </is>
      </c>
      <c r="D3" t="inlineStr">
        <is>
          <t>CLARIFY</t>
        </is>
      </c>
      <c r="E3" t="inlineStr">
        <is>
          <t>Hàng quý</t>
        </is>
      </c>
      <c r="F3" t="inlineStr">
        <is>
          <t>ĐÃ DUYỆT</t>
        </is>
      </c>
      <c r="G3" t="inlineStr">
        <is>
          <t>Meta-analysis</t>
        </is>
      </c>
      <c r="H3" t="inlineStr">
        <is>
          <t>Chờ làm rõ</t>
        </is>
      </c>
      <c r="I3" t="inlineStr">
        <is>
          <t>Không áp dụng</t>
        </is>
      </c>
      <c r="J3" t="inlineStr">
        <is>
          <t>Chờ duyệt</t>
        </is>
      </c>
      <c r="K3" t="inlineStr">
        <is>
          <t>Cao</t>
        </is>
      </c>
      <c r="L3" t="inlineStr">
        <is>
          <t>Tuần 3</t>
        </is>
      </c>
    </row>
    <row r="4">
      <c r="A4" t="inlineStr">
        <is>
          <t>Tạm dừng</t>
        </is>
      </c>
      <c r="C4" t="inlineStr">
        <is>
          <t>P3</t>
        </is>
      </c>
      <c r="D4" t="inlineStr">
        <is>
          <t>UPDATE SUMMARY</t>
        </is>
      </c>
      <c r="E4" t="inlineStr">
        <is>
          <t>6 tháng</t>
        </is>
      </c>
      <c r="F4" t="inlineStr">
        <is>
          <t>Đã phát hành</t>
        </is>
      </c>
      <c r="G4" t="inlineStr">
        <is>
          <t>RCT</t>
        </is>
      </c>
      <c r="J4" t="inlineStr">
        <is>
          <t>Hoàn tất</t>
        </is>
      </c>
      <c r="K4" t="inlineStr">
        <is>
          <t>Chưa đánh giá</t>
        </is>
      </c>
      <c r="L4" t="inlineStr">
        <is>
          <t>Tuần 4</t>
        </is>
      </c>
    </row>
    <row r="5">
      <c r="A5" t="inlineStr">
        <is>
          <t>Đã đóng</t>
        </is>
      </c>
      <c r="D5" t="inlineStr">
        <is>
          <t>PROPOSE PRACTICE UPDATE</t>
        </is>
      </c>
      <c r="E5" t="inlineStr">
        <is>
          <t>Hàng năm</t>
        </is>
      </c>
      <c r="F5" t="inlineStr">
        <is>
          <t>Đã đóng</t>
        </is>
      </c>
      <c r="G5" t="inlineStr">
        <is>
          <t>Cohort</t>
        </is>
      </c>
      <c r="J5" t="inlineStr">
        <is>
          <t>Loại có lý do</t>
        </is>
      </c>
      <c r="K5" t="inlineStr">
        <is>
          <t>Không áp dụng</t>
        </is>
      </c>
      <c r="L5" t="inlineStr">
        <is>
          <t>Tuần 5</t>
        </is>
      </c>
    </row>
    <row r="6">
      <c r="D6" t="inlineStr">
        <is>
          <t>SAFETY ESCALATION</t>
        </is>
      </c>
      <c r="E6" t="inlineStr">
        <is>
          <t>Theo sự kiện</t>
        </is>
      </c>
      <c r="G6" t="inlineStr">
        <is>
          <t>Chẩn đoán</t>
        </is>
      </c>
      <c r="L6" t="inlineStr">
        <is>
          <t>Tuần 6</t>
        </is>
      </c>
    </row>
    <row r="7">
      <c r="D7" t="inlineStr">
        <is>
          <t>RETIRE/SUPERSEDE</t>
        </is>
      </c>
      <c r="G7" t="inlineStr">
        <is>
          <t>Tiên lượng</t>
        </is>
      </c>
      <c r="L7" t="inlineStr">
        <is>
          <t>Tuần 7–8</t>
        </is>
      </c>
    </row>
    <row r="8">
      <c r="G8" t="inlineStr">
        <is>
          <t>An toàn thuốc</t>
        </is>
      </c>
      <c r="L8" t="inlineStr">
        <is>
          <t>Tuần 9</t>
        </is>
      </c>
    </row>
    <row r="9">
      <c r="G9" t="inlineStr">
        <is>
          <t>Cảnh báo quản lý</t>
        </is>
      </c>
      <c r="L9" t="inlineStr">
        <is>
          <t>Tuần 10</t>
        </is>
      </c>
    </row>
    <row r="10">
      <c r="G10" t="inlineStr">
        <is>
          <t>Preprint</t>
        </is>
      </c>
      <c r="L10" t="inlineStr">
        <is>
          <t>Tuần 11</t>
        </is>
      </c>
    </row>
    <row r="11">
      <c r="G11" t="inlineStr">
        <is>
          <t>Khác</t>
        </is>
      </c>
      <c r="L11" t="inlineStr">
        <is>
          <t>Tuần 12–13</t>
        </is>
      </c>
    </row>
  </sheetData>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26" customWidth="1" min="3" max="3"/>
    <col width="4" customWidth="1" min="4" max="4"/>
    <col width="31"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8" customHeight="1">
      <c r="A1" s="1" t="inlineStr">
        <is>
          <t>DASHBOARD CHƯƠNG TRÌNH</t>
        </is>
      </c>
    </row>
    <row r="2" ht="34" customHeight="1">
      <c r="A2" s="2" t="inlineStr">
        <is>
          <t>Các chỉ số cập nhật khi nhập dữ liệu vào các sheet vận hành. Ô trống không được tính là hoàn thành.</t>
        </is>
      </c>
    </row>
    <row r="4" ht="38" customHeight="1">
      <c r="A4" s="3" t="inlineStr">
        <is>
          <t>CHỈ SỐ</t>
        </is>
      </c>
      <c r="B4" s="3" t="inlineStr">
        <is>
          <t>GIÁ TRỊ</t>
        </is>
      </c>
      <c r="C4" s="3" t="inlineStr">
        <is>
          <t>MỤC TIÊU THÍ ĐIỂM</t>
        </is>
      </c>
      <c r="E4" s="4" t="inlineStr">
        <is>
          <t>Quyết định</t>
        </is>
      </c>
      <c r="F4" s="4" t="inlineStr">
        <is>
          <t>Số lượng</t>
        </is>
      </c>
    </row>
    <row r="5" ht="28" customHeight="1">
      <c r="A5" s="5" t="inlineStr">
        <is>
          <t>Tổng số dự án</t>
        </is>
      </c>
      <c r="B5" s="6">
        <f>COUNTA('DANH_MỤC_DỰ_ÁN'!A5:A200)</f>
        <v/>
      </c>
      <c r="C5" s="7" t="inlineStr">
        <is>
          <t>Theo danh mục</t>
        </is>
      </c>
      <c r="E5" s="8" t="inlineStr">
        <is>
          <t>NO CHANGE</t>
        </is>
      </c>
      <c r="F5" s="9">
        <f>COUNTIF('PHIẾU_CẬP_NHẬT'!J5:J1000,E5)</f>
        <v/>
      </c>
    </row>
    <row r="6" ht="28" customHeight="1">
      <c r="A6" s="5" t="inlineStr">
        <is>
          <t>Dự án được chọn thí điểm</t>
        </is>
      </c>
      <c r="B6" s="6">
        <f>COUNTIF('DANH_MỤC_DỰ_ÁN'!O5:O200,"Có")</f>
        <v/>
      </c>
      <c r="C6" s="7" t="inlineStr">
        <is>
          <t>2</t>
        </is>
      </c>
      <c r="E6" s="8" t="inlineStr">
        <is>
          <t>WATCH</t>
        </is>
      </c>
      <c r="F6" s="9">
        <f>COUNTIF('PHIẾU_CẬP_NHẬT'!J5:J1000,E6)</f>
        <v/>
      </c>
    </row>
    <row r="7" ht="28" customHeight="1">
      <c r="A7" s="5" t="inlineStr">
        <is>
          <t>Câu hỏi đã đăng ký</t>
        </is>
      </c>
      <c r="B7" s="6">
        <f>COUNTA('CÂU_HỎI'!A5:A500)</f>
        <v/>
      </c>
      <c r="C7" s="7" t="inlineStr">
        <is>
          <t>10–16</t>
        </is>
      </c>
      <c r="E7" s="8" t="inlineStr">
        <is>
          <t>CLARIFY</t>
        </is>
      </c>
      <c r="F7" s="9">
        <f>COUNTIF('PHIẾU_CẬP_NHẬT'!J5:J1000,E7)</f>
        <v/>
      </c>
    </row>
    <row r="8" ht="28" customHeight="1">
      <c r="A8" s="5" t="inlineStr">
        <is>
          <t>Câu hỏi quá hạn</t>
        </is>
      </c>
      <c r="B8" s="6">
        <f>COUNTIFS('CÂU_HỎI'!P5:P500,"&lt;"&amp;TODAY(),'CÂU_HỎI'!P5:P500,"&lt;&gt;"&amp;"",'CÂU_HỎI'!Q5:Q500,"&lt;&gt;Đã đóng")</f>
        <v/>
      </c>
      <c r="C8" s="7" t="inlineStr">
        <is>
          <t>0 P0/P1; giảm dần tổng</t>
        </is>
      </c>
      <c r="E8" s="8" t="inlineStr">
        <is>
          <t>UPDATE SUMMARY</t>
        </is>
      </c>
      <c r="F8" s="9">
        <f>COUNTIF('PHIẾU_CẬP_NHẬT'!J5:J1000,E8)</f>
        <v/>
      </c>
    </row>
    <row r="9" ht="28" customHeight="1">
      <c r="A9" s="5" t="inlineStr">
        <is>
          <t>Tín hiệu trong inbox</t>
        </is>
      </c>
      <c r="B9" s="6">
        <f>COUNTA(INBOX!A5:A1000)</f>
        <v/>
      </c>
      <c r="C9" s="7" t="inlineStr">
        <is>
          <t>Theo thực tế</t>
        </is>
      </c>
      <c r="E9" s="8" t="inlineStr">
        <is>
          <t>PROPOSE PRACTICE UPDATE</t>
        </is>
      </c>
      <c r="F9" s="9">
        <f>COUNTIF('PHIẾU_CẬP_NHẬT'!J5:J1000,E9)</f>
        <v/>
      </c>
    </row>
    <row r="10" ht="28" customHeight="1">
      <c r="A10" s="5" t="inlineStr">
        <is>
          <t>P0/P1 chưa hoàn tất</t>
        </is>
      </c>
      <c r="B10" s="6">
        <f>COUNTIFS(INBOX!L5:L1000,"P0",INBOX!M5:M1000,"&lt;&gt;Hoàn tất",INBOX!A5:A1000,"&lt;&gt;")+COUNTIFS(INBOX!L5:L1000,"P1",INBOX!M5:M1000,"&lt;&gt;Hoàn tất",INBOX!A5:A1000,"&lt;&gt;")</f>
        <v/>
      </c>
      <c r="C10" s="7" t="inlineStr">
        <is>
          <t>0 quá hạn</t>
        </is>
      </c>
      <c r="E10" s="8" t="inlineStr">
        <is>
          <t>SAFETY ESCALATION</t>
        </is>
      </c>
      <c r="F10" s="9">
        <f>COUNTIF('PHIẾU_CẬP_NHẬT'!J5:J1000,E10)</f>
        <v/>
      </c>
    </row>
    <row r="11" ht="28" customHeight="1">
      <c r="A11" s="5" t="inlineStr">
        <is>
          <t>Phiếu cập nhật đã tạo</t>
        </is>
      </c>
      <c r="B11" s="6">
        <f>COUNTA('PHIẾU_CẬP_NHẬT'!A5:A1000)</f>
        <v/>
      </c>
      <c r="C11" s="7" t="inlineStr">
        <is>
          <t>≥6</t>
        </is>
      </c>
      <c r="E11" s="8" t="inlineStr">
        <is>
          <t>RETIRE/SUPERSEDE</t>
        </is>
      </c>
      <c r="F11" s="9">
        <f>COUNTIF('PHIẾU_CẬP_NHẬT'!J5:J1000,E11)</f>
        <v/>
      </c>
    </row>
    <row r="12" ht="28" customHeight="1">
      <c r="A12" s="5" t="inlineStr">
        <is>
          <t>Phiếu đã duyệt</t>
        </is>
      </c>
      <c r="B12" s="6">
        <f>COUNTIF('PHIẾU_CẬP_NHẬT'!S5:S1000,"ĐÃ DUYỆT")</f>
        <v/>
      </c>
      <c r="C12" s="7" t="inlineStr">
        <is>
          <t>≥6 vào ngày 90</t>
        </is>
      </c>
    </row>
    <row r="13" ht="28" customHeight="1">
      <c r="A13" s="5" t="inlineStr">
        <is>
          <t>Tỷ lệ nguồn đã xác minh</t>
        </is>
      </c>
      <c r="B13" s="10">
        <f>IFERROR(COUNTIF('PHIẾU_CẬP_NHẬT'!T5:T1000,"Đã xác minh")/COUNTA('PHIẾU_CẬP_NHẬT'!A5:A1000),0)</f>
        <v/>
      </c>
      <c r="C13" s="7" t="inlineStr">
        <is>
          <t>≥90%</t>
        </is>
      </c>
    </row>
    <row r="14" ht="28" customHeight="1">
      <c r="A14" s="5" t="inlineStr">
        <is>
          <t>Tỷ lệ kiểm tra an toàn</t>
        </is>
      </c>
      <c r="B14" s="10">
        <f>IFERROR(COUNTIF('PHIẾU_CẬP_NHẬT'!U5:U1000,"Đã xác minh")/COUNTA('PHIẾU_CẬP_NHẬT'!A5:A1000),0)</f>
        <v/>
      </c>
      <c r="C14" s="7" t="inlineStr">
        <is>
          <t>100% P0/P1</t>
        </is>
      </c>
    </row>
    <row r="15" ht="28" customHeight="1">
      <c r="A15" s="5" t="inlineStr">
        <is>
          <t>Quyết định đã ghi nhật ký</t>
        </is>
      </c>
      <c r="B15" s="6">
        <f>COUNTA('NHẬT_KÝ_QĐ'!A5:A1000)</f>
        <v/>
      </c>
      <c r="C15" s="7" t="inlineStr">
        <is>
          <t>100% phiếu đã duyệt</t>
        </is>
      </c>
    </row>
    <row r="16" ht="28" customHeight="1">
      <c r="A16" s="5" t="inlineStr">
        <is>
          <t>Nhiệm vụ 90 ngày đã đóng</t>
        </is>
      </c>
      <c r="B16" s="6">
        <f>COUNTIF('CHECKLIST_90_NGÀY'!F5:F200,"Đã đóng")</f>
        <v/>
      </c>
      <c r="C16" s="7" t="inlineStr">
        <is>
          <t>11</t>
        </is>
      </c>
    </row>
    <row r="19">
      <c r="A19" s="11" t="inlineStr">
        <is>
          <t>GHI NHỚ AN TOÀN</t>
        </is>
      </c>
    </row>
    <row r="20">
      <c r="A20" s="12" t="inlineStr">
        <is>
          <t>AI chỉ hỗ trợ tìm kiếm, trích xuất, so sánh và soạn nháp. Không tự thay đổi thực hành, không tự gán GRADE, không dùng nguồn chưa xác minh và không xử lý thông tin định danh người bệnh.</t>
        </is>
      </c>
    </row>
    <row r="21"/>
    <row r="22"/>
    <row r="24">
      <c r="A24" s="13" t="inlineStr">
        <is>
          <t>⚠️ Cần bác sĩ kiểm chứng trước khi áp dụng lâm sàng.</t>
        </is>
      </c>
    </row>
  </sheetData>
  <mergeCells count="3">
    <mergeCell ref="A20:C22"/>
    <mergeCell ref="A2:L2"/>
    <mergeCell ref="A1:L1"/>
  </mergeCells>
  <pageMargins left="0.25" right="0.25" top="0.5" bottom="0.5" header="0.5" footer="0.5"/>
  <pageSetup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J21"/>
  <sheetViews>
    <sheetView showGridLines="0" workbookViewId="0">
      <pane ySplit="3" topLeftCell="A4" activePane="bottomLeft" state="frozen"/>
      <selection pane="bottomLeft" activeCell="A1" sqref="A1"/>
    </sheetView>
  </sheetViews>
  <sheetFormatPr baseColWidth="8" defaultRowHeight="15"/>
  <cols>
    <col width="24" customWidth="1" min="1" max="1"/>
    <col width="105" customWidth="1" min="2" max="2"/>
  </cols>
  <sheetData>
    <row r="1" ht="28" customHeight="1">
      <c r="A1" s="1" t="inlineStr">
        <is>
          <t>DASHBOARD DANH MỤC CẬP NHẬT CHỨNG CỨ ĐA CHUYÊN NGÀNH</t>
        </is>
      </c>
    </row>
    <row r="2" ht="34" customHeight="1">
      <c r="A2" s="2" t="inlineStr">
        <is>
          <t>Bản khởi động 90 ngày — dùng cho quản trị chương trình, không phải công cụ tự quyết định lâm sàng.</t>
        </is>
      </c>
    </row>
    <row r="4" ht="38" customHeight="1">
      <c r="A4" s="3" t="inlineStr">
        <is>
          <t>BƯỚC</t>
        </is>
      </c>
      <c r="B4" s="3" t="inlineStr">
        <is>
          <t>CÁCH DÙNG</t>
        </is>
      </c>
    </row>
    <row r="5">
      <c r="A5" s="14" t="inlineStr">
        <is>
          <t>Bắt đầu</t>
        </is>
      </c>
      <c r="B5" s="15" t="inlineStr">
        <is>
          <t>Chấm điểm các dự án trong sheet DANH_MỤC_DỰ_ÁN và chọn đúng 2 dự án thí điểm.</t>
        </is>
      </c>
    </row>
    <row r="6">
      <c r="A6" s="14" t="inlineStr">
        <is>
          <t>Câu hỏi</t>
        </is>
      </c>
      <c r="B6" s="15" t="inlineStr">
        <is>
          <t>Mỗi dự án thí điểm tạo 5–8 câu hỏi trong CÂU_HỎI; mỗi câu hỏi phải có baseline, chủ sở hữu và ngày rà soát.</t>
        </is>
      </c>
    </row>
    <row r="7">
      <c r="A7" s="14" t="inlineStr">
        <is>
          <t>Nguồn</t>
        </is>
      </c>
      <c r="B7" s="15" t="inlineStr">
        <is>
          <t>Đăng ký nguồn chính thức và chiến lược giám sát trong NGUỒN; ghi phiên bản, PMID/DOI/URL và ngày truy cập.</t>
        </is>
      </c>
    </row>
    <row r="8">
      <c r="A8" s="14" t="inlineStr">
        <is>
          <t>Tín hiệu</t>
        </is>
      </c>
      <c r="B8" s="15" t="inlineStr">
        <is>
          <t>Mọi bài/guideline/cảnh báo mới vào INBOX; khử trùng, kiểm tra phạm vi và phân loại P0–P3.</t>
        </is>
      </c>
    </row>
    <row r="9">
      <c r="A9" s="14" t="inlineStr">
        <is>
          <t>Phiếu</t>
        </is>
      </c>
      <c r="B9" s="15" t="inlineStr">
        <is>
          <t>Tín hiệu cần thẩm định được theo dõi trong PHIẾU_CẬP_NHẬT. Không coi là đã duyệt khi thiếu bác sĩ chuyên ngành.</t>
        </is>
      </c>
    </row>
    <row r="10">
      <c r="A10" s="14" t="inlineStr">
        <is>
          <t>Quyết định</t>
        </is>
      </c>
      <c r="B10" s="15" t="inlineStr">
        <is>
          <t>Mọi quyết định được ghi vào NHẬT_KÝ_QĐ với người duyệt, lý do, nguồn và ngày đánh giá lại.</t>
        </is>
      </c>
    </row>
    <row r="11">
      <c r="A11" s="14" t="inlineStr">
        <is>
          <t>Dashboard</t>
        </is>
      </c>
      <c r="B11" s="15" t="inlineStr">
        <is>
          <t>DASHBOARD tổng hợp tự động. Số liệu trống cho đến khi các sheet vận hành được điền.</t>
        </is>
      </c>
    </row>
    <row r="12">
      <c r="A12" s="14" t="inlineStr">
        <is>
          <t>An toàn</t>
        </is>
      </c>
      <c r="B12" s="15" t="inlineStr">
        <is>
          <t>P0: xử lý trong ngày làm việc. AI không tự thay đổi phác đồ; không lưu thông tin định danh người bệnh.</t>
        </is>
      </c>
    </row>
    <row r="14">
      <c r="A14" s="16" t="inlineStr">
        <is>
          <t>Quy ước màu</t>
        </is>
      </c>
    </row>
    <row r="15">
      <c r="A15" s="17" t="inlineStr">
        <is>
          <t>P0/Quá hạn</t>
        </is>
      </c>
    </row>
    <row r="16">
      <c r="A16" s="18" t="inlineStr">
        <is>
          <t>P1/Cần chú ý</t>
        </is>
      </c>
    </row>
    <row r="17">
      <c r="A17" s="19" t="inlineStr">
        <is>
          <t>Đang xử lý</t>
        </is>
      </c>
    </row>
    <row r="18">
      <c r="A18" s="20" t="inlineStr">
        <is>
          <t>Đã hoàn tất</t>
        </is>
      </c>
    </row>
    <row r="19">
      <c r="A19" s="21" t="inlineStr">
        <is>
          <t>Trường thông tin</t>
        </is>
      </c>
    </row>
    <row r="21">
      <c r="A21" s="13" t="inlineStr">
        <is>
          <t>⚠️ Cần bác sĩ kiểm chứng trước khi áp dụng lâm sàng.</t>
        </is>
      </c>
    </row>
  </sheetData>
  <mergeCells count="2">
    <mergeCell ref="A1:J1"/>
    <mergeCell ref="A2:J2"/>
  </mergeCells>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S19"/>
  <sheetViews>
    <sheetView showGridLines="0" workbookViewId="0">
      <pane ySplit="4" topLeftCell="A5" activePane="bottomLeft" state="frozen"/>
      <selection pane="bottomLeft" activeCell="A1" sqref="A1"/>
    </sheetView>
  </sheetViews>
  <sheetFormatPr baseColWidth="8" defaultRowHeight="15"/>
  <cols>
    <col width="13" customWidth="1" min="1" max="1"/>
    <col width="28" customWidth="1" min="2" max="2"/>
    <col width="20" customWidth="1" min="3" max="3"/>
    <col width="42" customWidth="1" min="4" max="4"/>
    <col width="23" customWidth="1" min="5" max="5"/>
    <col width="23" customWidth="1" min="6" max="6"/>
    <col width="18" customWidth="1" min="7" max="7"/>
    <col width="16" customWidth="1" min="8" max="8"/>
    <col width="16" customWidth="1" min="9" max="9"/>
    <col width="16" customWidth="1" min="10" max="10"/>
    <col width="18" customWidth="1" min="11" max="11"/>
    <col width="18" customWidth="1" min="12" max="12"/>
    <col width="18" customWidth="1" min="13" max="13"/>
    <col width="15" customWidth="1" min="14" max="14"/>
    <col width="14" customWidth="1" min="15" max="15"/>
    <col width="14" customWidth="1" min="16" max="16"/>
    <col width="17" customWidth="1" min="17" max="17"/>
    <col width="40" customWidth="1" min="18" max="18"/>
    <col width="35" customWidth="1" min="19" max="19"/>
  </cols>
  <sheetData>
    <row r="1" ht="28" customHeight="1">
      <c r="A1" s="1" t="inlineStr">
        <is>
          <t>DANH MỤC DỰ ÁN CHUYÊN NGÀNH</t>
        </is>
      </c>
    </row>
    <row r="2" ht="34" customHeight="1">
      <c r="A2" s="2" t="inlineStr">
        <is>
          <t>Chấm các cột H–M từ 1 đến 5. Điểm ưu tiên tối đa 100; cột N được tính tự động.</t>
        </is>
      </c>
    </row>
    <row r="4" ht="38" customHeight="1">
      <c r="A4" s="3" t="inlineStr">
        <is>
          <t>Mã dự án</t>
        </is>
      </c>
      <c r="B4" s="3" t="inlineStr">
        <is>
          <t>Chuyên ngành</t>
        </is>
      </c>
      <c r="C4" s="3" t="inlineStr">
        <is>
          <t>Nhóm</t>
        </is>
      </c>
      <c r="D4" s="3" t="inlineStr">
        <is>
          <t>Nguồn lõi gợi ý</t>
        </is>
      </c>
      <c r="E4" s="3" t="inlineStr">
        <is>
          <t>Trưởng chuyên ngành</t>
        </is>
      </c>
      <c r="F4" s="3" t="inlineStr">
        <is>
          <t>Phương pháp viên</t>
        </is>
      </c>
      <c r="G4" s="3" t="inlineStr">
        <is>
          <t>Trạng thái</t>
        </is>
      </c>
      <c r="H4" s="3" t="inlineStr">
        <is>
          <t>Nguy cơ an toàn (25%)</t>
        </is>
      </c>
      <c r="I4" s="3" t="inlineStr">
        <is>
          <t>Gánh nặng bệnh (20%)</t>
        </is>
      </c>
      <c r="J4" s="3" t="inlineStr">
        <is>
          <t>Tốc độ thay đổi (15%)</t>
        </is>
      </c>
      <c r="K4" s="3" t="inlineStr">
        <is>
          <t>Biến thiên thực hành (15%)</t>
        </is>
      </c>
      <c r="L4" s="3" t="inlineStr">
        <is>
          <t>Khả năng triển khai (15%)</t>
        </is>
      </c>
      <c r="M4" s="3" t="inlineStr">
        <is>
          <t>Khả năng đo tác động (10%)</t>
        </is>
      </c>
      <c r="N4" s="3" t="inlineStr">
        <is>
          <t>Điểm ưu tiên /100</t>
        </is>
      </c>
      <c r="O4" s="3" t="inlineStr">
        <is>
          <t>Chọn thí điểm</t>
        </is>
      </c>
      <c r="P4" s="3" t="inlineStr">
        <is>
          <t>Ngày bắt đầu</t>
        </is>
      </c>
      <c r="Q4" s="3" t="inlineStr">
        <is>
          <t>Ngày rà soát tiếp</t>
        </is>
      </c>
      <c r="R4" s="3" t="inlineStr">
        <is>
          <t>Mục tiêu 90 ngày</t>
        </is>
      </c>
      <c r="S4" s="3" t="inlineStr">
        <is>
          <t>Ghi chú</t>
        </is>
      </c>
    </row>
    <row r="5">
      <c r="A5" s="15" t="inlineStr">
        <is>
          <t>PRJ-CARD</t>
        </is>
      </c>
      <c r="B5" s="15" t="inlineStr">
        <is>
          <t>Tim mạch</t>
        </is>
      </c>
      <c r="C5" s="15" t="inlineStr">
        <is>
          <t>Nội khoa</t>
        </is>
      </c>
      <c r="D5" s="15" t="inlineStr">
        <is>
          <t>ESC; ACC/AHA; WHO; Bộ Y tế; PubMed</t>
        </is>
      </c>
      <c r="E5" s="15" t="inlineStr">
        <is>
          <t>Người dùng — tự phụ trách</t>
        </is>
      </c>
      <c r="F5" s="15" t="inlineStr">
        <is>
          <t>Người dùng — tự phụ trách</t>
        </is>
      </c>
      <c r="G5" s="15" t="inlineStr">
        <is>
          <t>Đang thiết lập</t>
        </is>
      </c>
      <c r="H5" s="15" t="n"/>
      <c r="I5" s="15" t="n"/>
      <c r="J5" s="15" t="n"/>
      <c r="K5" s="15" t="n"/>
      <c r="L5" s="15" t="n"/>
      <c r="M5" s="15" t="n"/>
      <c r="N5" s="15">
        <f>IF(COUNTA(H5:M5)=0,"",ROUND(SUMPRODUCT(H5:M5,{25,20,15,15,15,10})/5,1))</f>
        <v/>
      </c>
      <c r="O5" s="15" t="inlineStr">
        <is>
          <t>Có</t>
        </is>
      </c>
      <c r="P5" s="15" t="n"/>
      <c r="Q5" s="15" t="n"/>
      <c r="R5" s="15" t="inlineStr">
        <is>
          <t>Thiết lập 5–8 câu hỏi; hoàn thành ≥3 Evidence Update Cards</t>
        </is>
      </c>
      <c r="S5" s="15" t="n"/>
    </row>
    <row r="6">
      <c r="A6" s="15" t="inlineStr">
        <is>
          <t>PRJ-ENDO</t>
        </is>
      </c>
      <c r="B6" s="15" t="inlineStr">
        <is>
          <t>Nội tiết – Đái tháo đường</t>
        </is>
      </c>
      <c r="C6" s="15" t="inlineStr">
        <is>
          <t>Nội khoa</t>
        </is>
      </c>
      <c r="D6" s="15" t="inlineStr">
        <is>
          <t>ADA; EASD; WHO; Bộ Y tế; PubMed</t>
        </is>
      </c>
      <c r="E6" s="15" t="inlineStr">
        <is>
          <t>Người dùng — tự phụ trách</t>
        </is>
      </c>
      <c r="F6" s="15" t="inlineStr">
        <is>
          <t>Người dùng — tự phụ trách</t>
        </is>
      </c>
      <c r="G6" s="15" t="inlineStr">
        <is>
          <t>Đang thiết lập</t>
        </is>
      </c>
      <c r="H6" s="15" t="n"/>
      <c r="I6" s="15" t="n"/>
      <c r="J6" s="15" t="n"/>
      <c r="K6" s="15" t="n"/>
      <c r="L6" s="15" t="n"/>
      <c r="M6" s="15" t="n"/>
      <c r="N6" s="15">
        <f>IF(COUNTA(H6:M6)=0,"",ROUND(SUMPRODUCT(H6:M6,{25,20,15,15,15,10})/5,1))</f>
        <v/>
      </c>
      <c r="O6" s="15" t="inlineStr">
        <is>
          <t>Có</t>
        </is>
      </c>
      <c r="P6" s="15" t="n"/>
      <c r="Q6" s="15" t="n"/>
      <c r="R6" s="15" t="inlineStr">
        <is>
          <t>Thiết lập 5–8 câu hỏi; hoàn thành ≥3 Evidence Update Cards</t>
        </is>
      </c>
      <c r="S6" s="15" t="n"/>
    </row>
    <row r="7">
      <c r="A7" s="15" t="inlineStr">
        <is>
          <t>PRJ-NEPH</t>
        </is>
      </c>
      <c r="B7" s="15" t="inlineStr">
        <is>
          <t>Thận</t>
        </is>
      </c>
      <c r="C7" s="15" t="inlineStr">
        <is>
          <t>Nội khoa</t>
        </is>
      </c>
      <c r="D7" s="15" t="inlineStr">
        <is>
          <t>KDIGO; Bộ Y tế; PubMed</t>
        </is>
      </c>
      <c r="E7" s="15" t="n"/>
      <c r="F7" s="15" t="inlineStr">
        <is>
          <t>Người dùng — tự phụ trách</t>
        </is>
      </c>
      <c r="G7" s="15" t="inlineStr">
        <is>
          <t>Đang thiết lập</t>
        </is>
      </c>
      <c r="H7" s="15" t="n"/>
      <c r="I7" s="15" t="n"/>
      <c r="J7" s="15" t="n"/>
      <c r="K7" s="15" t="n"/>
      <c r="L7" s="15" t="n"/>
      <c r="M7" s="15" t="n"/>
      <c r="N7" s="15">
        <f>IF(COUNTA(H7:M7)=0,"",ROUND(SUMPRODUCT(H7:M7,{25,20,15,15,15,10})/5,1))</f>
        <v/>
      </c>
      <c r="O7" s="15" t="inlineStr">
        <is>
          <t>Không</t>
        </is>
      </c>
      <c r="P7" s="15" t="n"/>
      <c r="Q7" s="15" t="n"/>
      <c r="R7" s="15" t="inlineStr">
        <is>
          <t>Thiết lập 5–8 câu hỏi; hoàn thành ≥3 Evidence Update Cards</t>
        </is>
      </c>
      <c r="S7" s="15" t="n"/>
    </row>
    <row r="8">
      <c r="A8" s="15" t="inlineStr">
        <is>
          <t>PRJ-RESP</t>
        </is>
      </c>
      <c r="B8" s="15" t="inlineStr">
        <is>
          <t>Hô hấp</t>
        </is>
      </c>
      <c r="C8" s="15" t="inlineStr">
        <is>
          <t>Nội khoa</t>
        </is>
      </c>
      <c r="D8" s="15" t="inlineStr">
        <is>
          <t>GOLD; GINA; WHO; Bộ Y tế; PubMed</t>
        </is>
      </c>
      <c r="E8" s="15" t="n"/>
      <c r="F8" s="15" t="inlineStr">
        <is>
          <t>Người dùng — tự phụ trách</t>
        </is>
      </c>
      <c r="G8" s="15" t="inlineStr">
        <is>
          <t>Đang thiết lập</t>
        </is>
      </c>
      <c r="H8" s="15" t="n"/>
      <c r="I8" s="15" t="n"/>
      <c r="J8" s="15" t="n"/>
      <c r="K8" s="15" t="n"/>
      <c r="L8" s="15" t="n"/>
      <c r="M8" s="15" t="n"/>
      <c r="N8" s="15">
        <f>IF(COUNTA(H8:M8)=0,"",ROUND(SUMPRODUCT(H8:M8,{25,20,15,15,15,10})/5,1))</f>
        <v/>
      </c>
      <c r="O8" s="15" t="inlineStr">
        <is>
          <t>Không</t>
        </is>
      </c>
      <c r="P8" s="15" t="n"/>
      <c r="Q8" s="15" t="n"/>
      <c r="R8" s="15" t="inlineStr">
        <is>
          <t>Thiết lập 5–8 câu hỏi; hoàn thành ≥3 Evidence Update Cards</t>
        </is>
      </c>
      <c r="S8" s="15" t="n"/>
    </row>
    <row r="9">
      <c r="A9" s="15" t="inlineStr">
        <is>
          <t>PRJ-GIHEP</t>
        </is>
      </c>
      <c r="B9" s="15" t="inlineStr">
        <is>
          <t>Tiêu hóa – Gan mật</t>
        </is>
      </c>
      <c r="C9" s="15" t="inlineStr">
        <is>
          <t>Nội khoa</t>
        </is>
      </c>
      <c r="D9" s="15" t="inlineStr">
        <is>
          <t>AASLD; EASL; WHO; Bộ Y tế; PubMed</t>
        </is>
      </c>
      <c r="E9" s="15" t="n"/>
      <c r="F9" s="15" t="inlineStr">
        <is>
          <t>Người dùng — tự phụ trách</t>
        </is>
      </c>
      <c r="G9" s="15" t="inlineStr">
        <is>
          <t>Đang thiết lập</t>
        </is>
      </c>
      <c r="H9" s="15" t="n"/>
      <c r="I9" s="15" t="n"/>
      <c r="J9" s="15" t="n"/>
      <c r="K9" s="15" t="n"/>
      <c r="L9" s="15" t="n"/>
      <c r="M9" s="15" t="n"/>
      <c r="N9" s="15">
        <f>IF(COUNTA(H9:M9)=0,"",ROUND(SUMPRODUCT(H9:M9,{25,20,15,15,15,10})/5,1))</f>
        <v/>
      </c>
      <c r="O9" s="15" t="inlineStr">
        <is>
          <t>Không</t>
        </is>
      </c>
      <c r="P9" s="15" t="n"/>
      <c r="Q9" s="15" t="n"/>
      <c r="R9" s="15" t="inlineStr">
        <is>
          <t>Thiết lập 5–8 câu hỏi; hoàn thành ≥3 Evidence Update Cards</t>
        </is>
      </c>
      <c r="S9" s="15" t="n"/>
    </row>
    <row r="10">
      <c r="A10" s="15" t="inlineStr">
        <is>
          <t>PRJ-RHEU</t>
        </is>
      </c>
      <c r="B10" s="15" t="inlineStr">
        <is>
          <t>Cơ xương khớp</t>
        </is>
      </c>
      <c r="C10" s="15" t="inlineStr">
        <is>
          <t>Nội khoa</t>
        </is>
      </c>
      <c r="D10" s="15" t="inlineStr">
        <is>
          <t>EULAR; ACR; Bộ Y tế; PubMed</t>
        </is>
      </c>
      <c r="E10" s="15" t="n"/>
      <c r="F10" s="15" t="inlineStr">
        <is>
          <t>Người dùng — tự phụ trách</t>
        </is>
      </c>
      <c r="G10" s="15" t="inlineStr">
        <is>
          <t>Đang thiết lập</t>
        </is>
      </c>
      <c r="H10" s="15" t="n"/>
      <c r="I10" s="15" t="n"/>
      <c r="J10" s="15" t="n"/>
      <c r="K10" s="15" t="n"/>
      <c r="L10" s="15" t="n"/>
      <c r="M10" s="15" t="n"/>
      <c r="N10" s="15">
        <f>IF(COUNTA(H10:M10)=0,"",ROUND(SUMPRODUCT(H10:M10,{25,20,15,15,15,10})/5,1))</f>
        <v/>
      </c>
      <c r="O10" s="15" t="inlineStr">
        <is>
          <t>Không</t>
        </is>
      </c>
      <c r="P10" s="15" t="n"/>
      <c r="Q10" s="15" t="n"/>
      <c r="R10" s="15" t="inlineStr">
        <is>
          <t>Thiết lập 5–8 câu hỏi; hoàn thành ≥3 Evidence Update Cards</t>
        </is>
      </c>
      <c r="S10" s="15" t="n"/>
    </row>
    <row r="11">
      <c r="A11" s="15" t="inlineStr">
        <is>
          <t>PRJ-IDAMS</t>
        </is>
      </c>
      <c r="B11" s="15" t="inlineStr">
        <is>
          <t>Truyền nhiễm – Quản lý kháng sinh</t>
        </is>
      </c>
      <c r="C11" s="15" t="inlineStr">
        <is>
          <t>Nhiễm</t>
        </is>
      </c>
      <c r="D11" s="15" t="inlineStr">
        <is>
          <t>WHO; IDSA; WHO AWaRe; Bộ Y tế; PubMed</t>
        </is>
      </c>
      <c r="E11" s="15" t="n"/>
      <c r="F11" s="15" t="inlineStr">
        <is>
          <t>Người dùng — tự phụ trách</t>
        </is>
      </c>
      <c r="G11" s="15" t="inlineStr">
        <is>
          <t>Đang thiết lập</t>
        </is>
      </c>
      <c r="H11" s="15" t="n"/>
      <c r="I11" s="15" t="n"/>
      <c r="J11" s="15" t="n"/>
      <c r="K11" s="15" t="n"/>
      <c r="L11" s="15" t="n"/>
      <c r="M11" s="15" t="n"/>
      <c r="N11" s="15">
        <f>IF(COUNTA(H11:M11)=0,"",ROUND(SUMPRODUCT(H11:M11,{25,20,15,15,15,10})/5,1))</f>
        <v/>
      </c>
      <c r="O11" s="15" t="inlineStr">
        <is>
          <t>Không</t>
        </is>
      </c>
      <c r="P11" s="15" t="n"/>
      <c r="Q11" s="15" t="n"/>
      <c r="R11" s="15" t="inlineStr">
        <is>
          <t>Thiết lập 5–8 câu hỏi; hoàn thành ≥3 Evidence Update Cards</t>
        </is>
      </c>
      <c r="S11" s="15" t="n"/>
    </row>
    <row r="12">
      <c r="A12" s="15" t="inlineStr">
        <is>
          <t>PRJ-NEUR</t>
        </is>
      </c>
      <c r="B12" s="15" t="inlineStr">
        <is>
          <t>Thần kinh</t>
        </is>
      </c>
      <c r="C12" s="15" t="inlineStr">
        <is>
          <t>Thần kinh – tâm thần</t>
        </is>
      </c>
      <c r="D12" s="15" t="inlineStr">
        <is>
          <t>AAN; ESO; WHO; Bộ Y tế; PubMed</t>
        </is>
      </c>
      <c r="E12" s="15" t="n"/>
      <c r="F12" s="15" t="inlineStr">
        <is>
          <t>Người dùng — tự phụ trách</t>
        </is>
      </c>
      <c r="G12" s="15" t="inlineStr">
        <is>
          <t>Đang thiết lập</t>
        </is>
      </c>
      <c r="H12" s="15" t="n"/>
      <c r="I12" s="15" t="n"/>
      <c r="J12" s="15" t="n"/>
      <c r="K12" s="15" t="n"/>
      <c r="L12" s="15" t="n"/>
      <c r="M12" s="15" t="n"/>
      <c r="N12" s="15">
        <f>IF(COUNTA(H12:M12)=0,"",ROUND(SUMPRODUCT(H12:M12,{25,20,15,15,15,10})/5,1))</f>
        <v/>
      </c>
      <c r="O12" s="15" t="inlineStr">
        <is>
          <t>Không</t>
        </is>
      </c>
      <c r="P12" s="15" t="n"/>
      <c r="Q12" s="15" t="n"/>
      <c r="R12" s="15" t="inlineStr">
        <is>
          <t>Thiết lập 5–8 câu hỏi; hoàn thành ≥3 Evidence Update Cards</t>
        </is>
      </c>
      <c r="S12" s="15" t="n"/>
    </row>
    <row r="13">
      <c r="A13" s="15" t="inlineStr">
        <is>
          <t>PRJ-PSYC</t>
        </is>
      </c>
      <c r="B13" s="15" t="inlineStr">
        <is>
          <t>Tâm thần</t>
        </is>
      </c>
      <c r="C13" s="15" t="inlineStr">
        <is>
          <t>Thần kinh – tâm thần</t>
        </is>
      </c>
      <c r="D13" s="15" t="inlineStr">
        <is>
          <t>WHO; NICE; APA; Bộ Y tế; PubMed</t>
        </is>
      </c>
      <c r="E13" s="15" t="n"/>
      <c r="F13" s="15" t="inlineStr">
        <is>
          <t>Người dùng — tự phụ trách</t>
        </is>
      </c>
      <c r="G13" s="15" t="inlineStr">
        <is>
          <t>Đang thiết lập</t>
        </is>
      </c>
      <c r="H13" s="15" t="n"/>
      <c r="I13" s="15" t="n"/>
      <c r="J13" s="15" t="n"/>
      <c r="K13" s="15" t="n"/>
      <c r="L13" s="15" t="n"/>
      <c r="M13" s="15" t="n"/>
      <c r="N13" s="15">
        <f>IF(COUNTA(H13:M13)=0,"",ROUND(SUMPRODUCT(H13:M13,{25,20,15,15,15,10})/5,1))</f>
        <v/>
      </c>
      <c r="O13" s="15" t="inlineStr">
        <is>
          <t>Không</t>
        </is>
      </c>
      <c r="P13" s="15" t="n"/>
      <c r="Q13" s="15" t="n"/>
      <c r="R13" s="15" t="inlineStr">
        <is>
          <t>Thiết lập 5–8 câu hỏi; hoàn thành ≥3 Evidence Update Cards</t>
        </is>
      </c>
      <c r="S13" s="15" t="n"/>
    </row>
    <row r="14">
      <c r="A14" s="15" t="inlineStr">
        <is>
          <t>PRJ-ONCO</t>
        </is>
      </c>
      <c r="B14" s="15" t="inlineStr">
        <is>
          <t>Ung bướu – Huyết học</t>
        </is>
      </c>
      <c r="C14" s="15" t="inlineStr">
        <is>
          <t>Ung thư</t>
        </is>
      </c>
      <c r="D14" s="15" t="inlineStr">
        <is>
          <t>WHO; ESMO; ASCO; Bộ Y tế; PubMed</t>
        </is>
      </c>
      <c r="E14" s="15" t="n"/>
      <c r="F14" s="15" t="inlineStr">
        <is>
          <t>Người dùng — tự phụ trách</t>
        </is>
      </c>
      <c r="G14" s="15" t="inlineStr">
        <is>
          <t>Đang thiết lập</t>
        </is>
      </c>
      <c r="H14" s="15" t="n"/>
      <c r="I14" s="15" t="n"/>
      <c r="J14" s="15" t="n"/>
      <c r="K14" s="15" t="n"/>
      <c r="L14" s="15" t="n"/>
      <c r="M14" s="15" t="n"/>
      <c r="N14" s="15">
        <f>IF(COUNTA(H14:M14)=0,"",ROUND(SUMPRODUCT(H14:M14,{25,20,15,15,15,10})/5,1))</f>
        <v/>
      </c>
      <c r="O14" s="15" t="inlineStr">
        <is>
          <t>Không</t>
        </is>
      </c>
      <c r="P14" s="15" t="n"/>
      <c r="Q14" s="15" t="n"/>
      <c r="R14" s="15" t="inlineStr">
        <is>
          <t>Thiết lập 5–8 câu hỏi; hoàn thành ≥3 Evidence Update Cards</t>
        </is>
      </c>
      <c r="S14" s="15" t="n"/>
    </row>
    <row r="15">
      <c r="A15" s="15" t="inlineStr">
        <is>
          <t>PRJ-PEDS</t>
        </is>
      </c>
      <c r="B15" s="15" t="inlineStr">
        <is>
          <t>Nhi khoa</t>
        </is>
      </c>
      <c r="C15" s="15" t="inlineStr">
        <is>
          <t>Đối tượng đặc biệt</t>
        </is>
      </c>
      <c r="D15" s="15" t="inlineStr">
        <is>
          <t>WHO; AAP; Bộ Y tế; PubMed</t>
        </is>
      </c>
      <c r="E15" s="15" t="n"/>
      <c r="F15" s="15" t="inlineStr">
        <is>
          <t>Người dùng — tự phụ trách</t>
        </is>
      </c>
      <c r="G15" s="15" t="inlineStr">
        <is>
          <t>Đang thiết lập</t>
        </is>
      </c>
      <c r="H15" s="15" t="n"/>
      <c r="I15" s="15" t="n"/>
      <c r="J15" s="15" t="n"/>
      <c r="K15" s="15" t="n"/>
      <c r="L15" s="15" t="n"/>
      <c r="M15" s="15" t="n"/>
      <c r="N15" s="15">
        <f>IF(COUNTA(H15:M15)=0,"",ROUND(SUMPRODUCT(H15:M15,{25,20,15,15,15,10})/5,1))</f>
        <v/>
      </c>
      <c r="O15" s="15" t="inlineStr">
        <is>
          <t>Không</t>
        </is>
      </c>
      <c r="P15" s="15" t="n"/>
      <c r="Q15" s="15" t="n"/>
      <c r="R15" s="15" t="inlineStr">
        <is>
          <t>Thiết lập 5–8 câu hỏi; hoàn thành ≥3 Evidence Update Cards</t>
        </is>
      </c>
      <c r="S15" s="15" t="n"/>
    </row>
    <row r="16">
      <c r="A16" s="15" t="inlineStr">
        <is>
          <t>PRJ-OBGY</t>
        </is>
      </c>
      <c r="B16" s="15" t="inlineStr">
        <is>
          <t>Sản phụ khoa</t>
        </is>
      </c>
      <c r="C16" s="15" t="inlineStr">
        <is>
          <t>Đối tượng đặc biệt</t>
        </is>
      </c>
      <c r="D16" s="15" t="inlineStr">
        <is>
          <t>WHO; FIGO; ACOG; Bộ Y tế; PubMed</t>
        </is>
      </c>
      <c r="E16" s="15" t="n"/>
      <c r="F16" s="15" t="inlineStr">
        <is>
          <t>Người dùng — tự phụ trách</t>
        </is>
      </c>
      <c r="G16" s="15" t="inlineStr">
        <is>
          <t>Đang thiết lập</t>
        </is>
      </c>
      <c r="H16" s="15" t="n"/>
      <c r="I16" s="15" t="n"/>
      <c r="J16" s="15" t="n"/>
      <c r="K16" s="15" t="n"/>
      <c r="L16" s="15" t="n"/>
      <c r="M16" s="15" t="n"/>
      <c r="N16" s="15">
        <f>IF(COUNTA(H16:M16)=0,"",ROUND(SUMPRODUCT(H16:M16,{25,20,15,15,15,10})/5,1))</f>
        <v/>
      </c>
      <c r="O16" s="15" t="inlineStr">
        <is>
          <t>Không</t>
        </is>
      </c>
      <c r="P16" s="15" t="n"/>
      <c r="Q16" s="15" t="n"/>
      <c r="R16" s="15" t="inlineStr">
        <is>
          <t>Thiết lập 5–8 câu hỏi; hoàn thành ≥3 Evidence Update Cards</t>
        </is>
      </c>
      <c r="S16" s="15" t="n"/>
    </row>
    <row r="17">
      <c r="A17" s="15" t="inlineStr">
        <is>
          <t>PRJ-CRIT</t>
        </is>
      </c>
      <c r="B17" s="15" t="inlineStr">
        <is>
          <t>Cấp cứu – Hồi sức</t>
        </is>
      </c>
      <c r="C17" s="15" t="inlineStr">
        <is>
          <t>Cấp tính</t>
        </is>
      </c>
      <c r="D17" s="15" t="inlineStr">
        <is>
          <t>WHO; SCCM; ERC/ILCOR; Bộ Y tế; PubMed</t>
        </is>
      </c>
      <c r="E17" s="15" t="n"/>
      <c r="F17" s="15" t="inlineStr">
        <is>
          <t>Người dùng — tự phụ trách</t>
        </is>
      </c>
      <c r="G17" s="15" t="inlineStr">
        <is>
          <t>Đang thiết lập</t>
        </is>
      </c>
      <c r="H17" s="15" t="n"/>
      <c r="I17" s="15" t="n"/>
      <c r="J17" s="15" t="n"/>
      <c r="K17" s="15" t="n"/>
      <c r="L17" s="15" t="n"/>
      <c r="M17" s="15" t="n"/>
      <c r="N17" s="15">
        <f>IF(COUNTA(H17:M17)=0,"",ROUND(SUMPRODUCT(H17:M17,{25,20,15,15,15,10})/5,1))</f>
        <v/>
      </c>
      <c r="O17" s="15" t="inlineStr">
        <is>
          <t>Không</t>
        </is>
      </c>
      <c r="P17" s="15" t="n"/>
      <c r="Q17" s="15" t="n"/>
      <c r="R17" s="15" t="inlineStr">
        <is>
          <t>Thiết lập 5–8 câu hỏi; hoàn thành ≥3 Evidence Update Cards</t>
        </is>
      </c>
      <c r="S17" s="15" t="n"/>
    </row>
    <row r="18">
      <c r="A18" s="15" t="inlineStr">
        <is>
          <t>PRJ-DRUG</t>
        </is>
      </c>
      <c r="B18" s="15" t="inlineStr">
        <is>
          <t>An toàn thuốc</t>
        </is>
      </c>
      <c r="C18" s="15" t="inlineStr">
        <is>
          <t>Xuyên suốt</t>
        </is>
      </c>
      <c r="D18" s="15" t="inlineStr">
        <is>
          <t>Cục Quản lý Dược; WHO; EMA; FDA; MHRA</t>
        </is>
      </c>
      <c r="E18" s="15" t="n"/>
      <c r="F18" s="15" t="inlineStr">
        <is>
          <t>Người dùng — tự phụ trách</t>
        </is>
      </c>
      <c r="G18" s="15" t="inlineStr">
        <is>
          <t>Đang thiết lập</t>
        </is>
      </c>
      <c r="H18" s="15" t="n"/>
      <c r="I18" s="15" t="n"/>
      <c r="J18" s="15" t="n"/>
      <c r="K18" s="15" t="n"/>
      <c r="L18" s="15" t="n"/>
      <c r="M18" s="15" t="n"/>
      <c r="N18" s="15">
        <f>IF(COUNTA(H18:M18)=0,"",ROUND(SUMPRODUCT(H18:M18,{25,20,15,15,15,10})/5,1))</f>
        <v/>
      </c>
      <c r="O18" s="15" t="inlineStr">
        <is>
          <t>Không</t>
        </is>
      </c>
      <c r="P18" s="15" t="n"/>
      <c r="Q18" s="15" t="n"/>
      <c r="R18" s="15" t="inlineStr">
        <is>
          <t>Thiết lập 5–8 câu hỏi; hoàn thành ≥3 Evidence Update Cards</t>
        </is>
      </c>
      <c r="S18" s="15" t="n"/>
    </row>
    <row r="19">
      <c r="A19" s="15" t="inlineStr">
        <is>
          <t>PRJ-SCORE</t>
        </is>
      </c>
      <c r="B19" s="15" t="inlineStr">
        <is>
          <t>Thang điểm và công cụ lâm sàng</t>
        </is>
      </c>
      <c r="C19" s="15" t="inlineStr">
        <is>
          <t>Xuyên suốt</t>
        </is>
      </c>
      <c r="D19" s="15" t="inlineStr">
        <is>
          <t>Bài gốc; nghiên cứu hiệu chỉnh; guideline nguồn</t>
        </is>
      </c>
      <c r="E19" s="15" t="n"/>
      <c r="F19" s="15" t="inlineStr">
        <is>
          <t>Người dùng — tự phụ trách</t>
        </is>
      </c>
      <c r="G19" s="15" t="inlineStr">
        <is>
          <t>Đang thiết lập</t>
        </is>
      </c>
      <c r="H19" s="15" t="n"/>
      <c r="I19" s="15" t="n"/>
      <c r="J19" s="15" t="n"/>
      <c r="K19" s="15" t="n"/>
      <c r="L19" s="15" t="n"/>
      <c r="M19" s="15" t="n"/>
      <c r="N19" s="15">
        <f>IF(COUNTA(H19:M19)=0,"",ROUND(SUMPRODUCT(H19:M19,{25,20,15,15,15,10})/5,1))</f>
        <v/>
      </c>
      <c r="O19" s="15" t="inlineStr">
        <is>
          <t>Không</t>
        </is>
      </c>
      <c r="P19" s="15" t="n"/>
      <c r="Q19" s="15" t="n"/>
      <c r="R19" s="15" t="inlineStr">
        <is>
          <t>Thiết lập 5–8 câu hỏi; hoàn thành ≥3 Evidence Update Cards</t>
        </is>
      </c>
      <c r="S19" s="15" t="n"/>
    </row>
  </sheetData>
  <autoFilter ref="A4:S19"/>
  <mergeCells count="2">
    <mergeCell ref="A2:S2"/>
    <mergeCell ref="A1:S1"/>
  </mergeCells>
  <conditionalFormatting sqref="N5:N200">
    <cfRule type="colorScale" priority="1">
      <colorScale>
        <cfvo type="min"/>
        <cfvo type="percentile" val="50"/>
        <cfvo type="max"/>
        <color rgb="00F4CCCC"/>
        <color rgb="00FFD966"/>
        <color rgb="00E2F0D9"/>
      </colorScale>
    </cfRule>
  </conditionalFormatting>
  <conditionalFormatting sqref="O5:O200">
    <cfRule type="expression" priority="2" dxfId="0">
      <formula>$O5="Có"</formula>
    </cfRule>
  </conditionalFormatting>
  <dataValidations count="3">
    <dataValidation sqref="H5:M200" showDropDown="0" showInputMessage="0" showErrorMessage="0" allowBlank="1" error="Chỉ nhập số nguyên từ 1 đến 5." type="whole" operator="between">
      <formula1>1</formula1>
      <formula2>5</formula2>
    </dataValidation>
    <dataValidation sqref="G5:G200" showDropDown="0" showInputMessage="0" showErrorMessage="0" allowBlank="1" errorTitle="Giá trị không hợp lệ" error="Vui lòng chọn một giá trị trong danh sách." promptTitle="Trường chuẩn hóa" prompt="Chọn từ danh sách." type="list">
      <formula1>=StatusProject</formula1>
    </dataValidation>
    <dataValidation sqref="O5:O200" showDropDown="0" showInputMessage="0" showErrorMessage="0" allowBlank="1" errorTitle="Giá trị không hợp lệ" error="Vui lòng chọn một giá trị trong danh sách." promptTitle="Trường chuẩn hóa" prompt="Chọn từ danh sách." type="list">
      <formula1>=YesNo</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S1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8" customWidth="1" min="3" max="3"/>
    <col width="30" customWidth="1" min="4" max="4"/>
    <col width="30" customWidth="1" min="5" max="5"/>
    <col width="25" customWidth="1" min="6" max="6"/>
    <col width="35" customWidth="1" min="7" max="7"/>
    <col width="22" customWidth="1" min="8" max="8"/>
    <col width="38" customWidth="1" min="9" max="9"/>
    <col width="18" customWidth="1" min="10" max="10"/>
    <col width="28" customWidth="1" min="11" max="11"/>
    <col width="24" customWidth="1" min="12" max="12"/>
    <col width="24" customWidth="1" min="13" max="13"/>
    <col width="18" customWidth="1" min="14" max="14"/>
    <col width="16" customWidth="1" min="15" max="15"/>
    <col width="16" customWidth="1" min="16" max="16"/>
    <col width="18" customWidth="1" min="17" max="17"/>
    <col width="12" customWidth="1" min="18" max="18"/>
    <col width="35" customWidth="1" min="19" max="19"/>
  </cols>
  <sheetData>
    <row r="1" ht="28" customHeight="1">
      <c r="A1" s="1" t="inlineStr">
        <is>
          <t>DANH MỤC CÂU HỎI LÂM SÀNG</t>
        </is>
      </c>
    </row>
    <row r="2" ht="34" customHeight="1">
      <c r="A2" s="2" t="inlineStr">
        <is>
          <t>Mỗi dự án thí điểm bắt đầu với 5–8 câu hỏi. Không để trống baseline, chủ sở hữu hoặc ngày rà soát tiếp theo.</t>
        </is>
      </c>
    </row>
    <row r="4" ht="38" customHeight="1">
      <c r="A4" s="3" t="inlineStr">
        <is>
          <t>Mã câu hỏi</t>
        </is>
      </c>
      <c r="B4" s="3" t="inlineStr">
        <is>
          <t>Mã dự án</t>
        </is>
      </c>
      <c r="C4" s="3" t="inlineStr">
        <is>
          <t>Chủ đề</t>
        </is>
      </c>
      <c r="D4" s="3" t="inlineStr">
        <is>
          <t>Population</t>
        </is>
      </c>
      <c r="E4" s="3" t="inlineStr">
        <is>
          <t>Intervention/Index/Exposure</t>
        </is>
      </c>
      <c r="F4" s="3" t="inlineStr">
        <is>
          <t>Comparator</t>
        </is>
      </c>
      <c r="G4" s="3" t="inlineStr">
        <is>
          <t>Outcomes</t>
        </is>
      </c>
      <c r="H4" s="3" t="inlineStr">
        <is>
          <t>Time/Setting</t>
        </is>
      </c>
      <c r="I4" s="3" t="inlineStr">
        <is>
          <t>Baseline hiện tại</t>
        </is>
      </c>
      <c r="J4" s="3" t="inlineStr">
        <is>
          <t>Phiên bản/ngày</t>
        </is>
      </c>
      <c r="K4" s="3" t="inlineStr">
        <is>
          <t>PMID/DOI/URL</t>
        </is>
      </c>
      <c r="L4" s="3" t="inlineStr">
        <is>
          <t>Chủ sở hữu lâm sàng</t>
        </is>
      </c>
      <c r="M4" s="3" t="inlineStr">
        <is>
          <t>Phụ trách phương pháp</t>
        </is>
      </c>
      <c r="N4" s="3" t="inlineStr">
        <is>
          <t>Nhịp giám sát</t>
        </is>
      </c>
      <c r="O4" s="3" t="inlineStr">
        <is>
          <t>Lần rà soát gần nhất</t>
        </is>
      </c>
      <c r="P4" s="3" t="inlineStr">
        <is>
          <t>Rà soát tiếp theo</t>
        </is>
      </c>
      <c r="Q4" s="3" t="inlineStr">
        <is>
          <t>Trạng thái</t>
        </is>
      </c>
      <c r="R4" s="3" t="inlineStr">
        <is>
          <t>Ưu tiên</t>
        </is>
      </c>
      <c r="S4" s="3" t="inlineStr">
        <is>
          <t>Ghi chú</t>
        </is>
      </c>
    </row>
    <row r="5">
      <c r="A5" s="15" t="inlineStr">
        <is>
          <t>Q-CARD-01</t>
        </is>
      </c>
      <c r="B5" s="15" t="inlineStr">
        <is>
          <t>PRJ-CARD</t>
        </is>
      </c>
      <c r="C5" s="15" t="inlineStr">
        <is>
          <t>Tăng huyết áp và đo huyết áp tại nhà</t>
        </is>
      </c>
      <c r="D5" s="15" t="inlineStr">
        <is>
          <t>Người lớn ngoại trú có huyết áp tăng hoặc nghi tăng huyết áp; chưa có tình huống cấp cứu tăng huyết áp.</t>
        </is>
      </c>
      <c r="E5" s="15" t="inlineStr">
        <is>
          <t>Đo huyết áp chuẩn hóa tại phòng khám kết hợp HBPM/ABPM khi phù hợp; đánh giá nguy cơ tim mạch và quản lý lối sống/thuốc theo guideline — DRAFT.</t>
        </is>
      </c>
      <c r="F5" s="15" t="inlineStr">
        <is>
          <t>Đo không chuẩn hóa, chỉ dựa một trị số phòng khám hoặc chăm sóc hiện hành chưa có xác nhận ngoài phòng khám.</t>
        </is>
      </c>
      <c r="G5" s="15" t="inlineStr">
        <is>
          <t>Xác nhận chẩn đoán; kiểm soát huyết áp; biến cố tim mạch; tổn thương cơ quan; hạ huyết áp/tác dụng bất lợi.</t>
        </is>
      </c>
      <c r="H5" s="15" t="inlineStr">
        <is>
          <t>Ngoại trú; đánh giá ban đầu và tái đánh giá định kỳ hoặc theo sự kiện.</t>
        </is>
      </c>
      <c r="I5" s="15" t="inlineStr">
        <is>
          <t>DRAFT — CHƯA DUYỆT: dùng 2024 ESC Guidelines (có corrigendum 11/02/2025) làm baseline cho đo chuẩn hóa, xác nhận ngoài phòng khám và quản lý dựa trên nguy cơ; cần đối chiếu hướng dẫn Bộ Y tế và nguồn lực HBPM/ABPM tại Việt Nam.</t>
        </is>
      </c>
      <c r="J5" s="15" t="inlineStr">
        <is>
          <t>2024 ESC Elevated Blood Pressure and Hypertension; corrigendum 11/02/2025; truy cập 31/08/2026</t>
        </is>
      </c>
      <c r="K5" s="15" t="inlineStr">
        <is>
          <t>https://www.escardio.org/guidelines/clinical-practice-guidelines/all-esc-practice-guidelines/elevated-blood-pressure-and-hypertension/ | PMID:39210715 | DOI:10.1093/eurheartj/ehae178</t>
        </is>
      </c>
      <c r="L5" s="15" t="inlineStr">
        <is>
          <t>Người dùng — tự phụ trách</t>
        </is>
      </c>
      <c r="M5" s="15" t="inlineStr">
        <is>
          <t>Người dùng — tự phụ trách</t>
        </is>
      </c>
      <c r="N5" s="15" t="inlineStr">
        <is>
          <t>Theo sự kiện</t>
        </is>
      </c>
      <c r="O5" s="41" t="n">
        <v>46265</v>
      </c>
      <c r="P5" s="41" t="n">
        <v>46370</v>
      </c>
      <c r="Q5" s="15" t="inlineStr">
        <is>
          <t>Đang thiết lập</t>
        </is>
      </c>
      <c r="R5" s="15" t="inlineStr">
        <is>
          <t>P2</t>
        </is>
      </c>
      <c r="S5" s="15" t="inlineStr">
        <is>
          <t>BACKLOG 1/6 · DRAFT — CHƯA DUYỆT · Nguồn ở cột K chỉ là nguồn khởi đầu, chưa thẩm định cấp câu hỏi · VÒNG LẶP ĐA CHUYÊN NGÀNH 2026-08-26: rà an toàn hằng tuần + chuyên sâu tuần tự theo ngày cột P · BASELINE DRAFT HOÀN THÀNH 31/08/2026 — chờ duyệt lâm sàng/phương pháp</t>
        </is>
      </c>
    </row>
    <row r="6">
      <c r="A6" s="15" t="inlineStr">
        <is>
          <t>Q-CARD-02</t>
        </is>
      </c>
      <c r="B6" s="15" t="inlineStr">
        <is>
          <t>PRJ-CARD</t>
        </is>
      </c>
      <c r="C6" s="15" t="inlineStr">
        <is>
          <t>Rối loạn lipid máu và nguy cơ tim mạch tổng thể</t>
        </is>
      </c>
      <c r="D6" s="15" t="inlineStr">
        <is>
          <t>Người lớn ngoại trú cần đánh giá nguy cơ tim mạch và quản lý rối loạn lipid máu.</t>
        </is>
      </c>
      <c r="E6" s="15" t="inlineStr">
        <is>
          <t>Phân tầng nguy cơ tổng thể bằng công cụ phù hợp, đánh giá yếu tố điều biến nguy cơ và điều trị hạ lipid theo nguy cơ/mức LDL-C — DRAFT.</t>
        </is>
      </c>
      <c r="F6" s="15" t="inlineStr">
        <is>
          <t>Cách đánh giá cũ không cập nhật SCORE2/SCORE2-OP hoặc điều trị không gắn với nguy cơ tổng thể.</t>
        </is>
      </c>
      <c r="G6" s="15" t="inlineStr">
        <is>
          <t>LDL-C; biến cố tim mạch lớn; tử vong tim mạch; dung nạp và tác dụng bất lợi của điều trị.</t>
        </is>
      </c>
      <c r="H6" s="15" t="inlineStr">
        <is>
          <t>Ngoại trú; đánh giá ban đầu, sau thay đổi điều trị và định kỳ.</t>
        </is>
      </c>
      <c r="I6" s="15" t="inlineStr">
        <is>
          <t>DRAFT — CHƯA DUYỆT: 2025 ESC/EAS Focused Update cập nhật phân tầng nguy cơ và các yếu tố điều biến/nghiệm pháp hỗ trợ, đồng thời bổ sung chứng cứ về lựa chọn hạ lipid; không tự chuyển thành mục tiêu điều trị tại cơ sở khi chưa duyệt bối cảnh Việt Nam.</t>
        </is>
      </c>
      <c r="J6" s="15" t="inlineStr">
        <is>
          <t>2025 Focused Update of 2019 ESC/EAS Dyslipidaemias Guidelines; truy cập 31/08/2026</t>
        </is>
      </c>
      <c r="K6" s="15" t="inlineStr">
        <is>
          <t>https://www.escardio.org/news/news-room/congress-news/2025-focused-update-dyslipidaemias/ | PMID:40878289 | DOI:10.1093/eurheartj/ehaf190</t>
        </is>
      </c>
      <c r="L6" s="15" t="inlineStr">
        <is>
          <t>Người dùng — tự phụ trách</t>
        </is>
      </c>
      <c r="M6" s="15" t="inlineStr">
        <is>
          <t>Người dùng — tự phụ trách</t>
        </is>
      </c>
      <c r="N6" s="15" t="inlineStr">
        <is>
          <t>Theo sự kiện</t>
        </is>
      </c>
      <c r="O6" s="41" t="n">
        <v>46265</v>
      </c>
      <c r="P6" s="41" t="n">
        <v>46370</v>
      </c>
      <c r="Q6" s="15" t="inlineStr">
        <is>
          <t>Đang thiết lập</t>
        </is>
      </c>
      <c r="R6" s="15" t="inlineStr">
        <is>
          <t>P2</t>
        </is>
      </c>
      <c r="S6" s="15" t="inlineStr">
        <is>
          <t>BACKLOG 2/6 · DRAFT — CHƯA DUYỆT · Nguồn ở cột K chỉ là nguồn khởi đầu, chưa thẩm định cấp câu hỏi · VÒNG LẶP ĐA CHUYÊN NGÀNH 2026-08-26: rà an toàn hằng tuần + chuyên sâu tuần tự theo ngày cột P · BASELINE DRAFT HOÀN THÀNH 31/08/2026 — chờ duyệt lâm sàng/phương pháp</t>
        </is>
      </c>
    </row>
    <row r="7">
      <c r="A7" s="15" t="inlineStr">
        <is>
          <t>Q-CARD-03</t>
        </is>
      </c>
      <c r="B7" s="15" t="inlineStr">
        <is>
          <t>PRJ-CARD</t>
        </is>
      </c>
      <c r="C7" s="15" t="inlineStr">
        <is>
          <t>Rung nhĩ, phòng ngừa đột quỵ và an toàn chống đông</t>
        </is>
      </c>
      <c r="D7" s="15" t="inlineStr">
        <is>
          <t>Người lớn ngoại trú có rung nhĩ đã xác nhận hoặc nghi ngờ cần xác nhận và tái đánh giá nguy cơ.</t>
        </is>
      </c>
      <c r="E7" s="15" t="inlineStr">
        <is>
          <t>Quản lý tích hợp AF-CARE: bệnh đồng mắc/yếu tố nguy cơ, phòng ngừa huyết khối, kiểm soát triệu chứng và tái đánh giá động; kiểm tra an toàn chống đông — DRAFT.</t>
        </is>
      </c>
      <c r="F7" s="15" t="inlineStr">
        <is>
          <t>Chăm sóc phân mảnh hoặc quyết định chống đông/kiểm soát nhịp không có tái đánh giá hệ thống.</t>
        </is>
      </c>
      <c r="G7" s="15" t="inlineStr">
        <is>
          <t>Đột quỵ/thuyên tắc hệ thống; chảy máu lớn; triệu chứng; nhập viện; chất lượng sống và tử vong.</t>
        </is>
      </c>
      <c r="H7" s="15" t="inlineStr">
        <is>
          <t>Ngoại trú; tái đánh giá định kỳ và khi thay đổi bệnh đồng mắc, thuốc hoặc nguy cơ chảy máu.</t>
        </is>
      </c>
      <c r="I7" s="15" t="inlineStr">
        <is>
          <t>DRAFT — CHƯA DUYỆT: dùng 2024 ESC AF Guidelines và khung AF-CARE làm baseline cho quản lý tích hợp, phòng ngừa huyết khối và tái đánh giá động; lựa chọn chống đông cụ thể phải qua bác sĩ và bối cảnh người bệnh.</t>
        </is>
      </c>
      <c r="J7" s="15" t="inlineStr">
        <is>
          <t>2024 ESC Guidelines for atrial fibrillation; truy cập 31/08/2026</t>
        </is>
      </c>
      <c r="K7" s="15" t="inlineStr">
        <is>
          <t>https://www.escardio.org/guidelines/clinical-practice-guidelines/all-esc-practice-guidelines/atrial-fibrillation/ | PMID:39210723 | DOI:10.1093/eurheartj/ehae176</t>
        </is>
      </c>
      <c r="L7" s="15" t="inlineStr">
        <is>
          <t>Người dùng — tự phụ trách</t>
        </is>
      </c>
      <c r="M7" s="15" t="inlineStr">
        <is>
          <t>Người dùng — tự phụ trách</t>
        </is>
      </c>
      <c r="N7" s="15" t="inlineStr">
        <is>
          <t>Theo sự kiện</t>
        </is>
      </c>
      <c r="O7" s="41" t="n">
        <v>46265</v>
      </c>
      <c r="P7" s="41" t="n">
        <v>46370</v>
      </c>
      <c r="Q7" s="15" t="inlineStr">
        <is>
          <t>Đang thiết lập</t>
        </is>
      </c>
      <c r="R7" s="15" t="inlineStr">
        <is>
          <t>P2</t>
        </is>
      </c>
      <c r="S7" s="15" t="inlineStr">
        <is>
          <t>BACKLOG 3/6 · DRAFT — CHƯA DUYỆT · Nguồn ở cột K chỉ là nguồn khởi đầu, chưa thẩm định cấp câu hỏi · VÒNG LẶP ĐA CHUYÊN NGÀNH 2026-08-26: rà an toàn hằng tuần + chuyên sâu tuần tự theo ngày cột P · BASELINE DRAFT HOÀN THÀNH 31/08/2026 — chờ duyệt lâm sàng/phương pháp</t>
        </is>
      </c>
    </row>
    <row r="8">
      <c r="A8" s="15" t="inlineStr">
        <is>
          <t>Q-CARD-04</t>
        </is>
      </c>
      <c r="B8" s="15" t="inlineStr">
        <is>
          <t>PRJ-CARD</t>
        </is>
      </c>
      <c r="C8" s="15" t="inlineStr">
        <is>
          <t>Đau ngực ổn định và bệnh mạch vành mạn</t>
        </is>
      </c>
      <c r="D8" s="15" t="inlineStr">
        <is>
          <t>Người lớn ngoại trú có đau ngực ổn định/nghi hội chứng vành mạn hoặc bệnh vành mạn đã xác định.</t>
        </is>
      </c>
      <c r="E8" s="15" t="inlineStr">
        <is>
          <t>Đánh giá từng bước với xác suất lâm sàng có trọng số yếu tố nguy cơ, lựa chọn xét nghiệm phù hợp và quản lý triệu chứng/phòng biến cố — DRAFT.</t>
        </is>
      </c>
      <c r="F8" s="15" t="inlineStr">
        <is>
          <t>Mô hình xác suất cũ hoặc xét nghiệm/điều trị không theo xác suất và đặc điểm người bệnh.</t>
        </is>
      </c>
      <c r="G8" s="15" t="inlineStr">
        <is>
          <t>Chẩn đoán bệnh mạch vành tắc nghẽn hoặc ANOCA/INOCA; triệu chứng; biến cố tim mạch; xét nghiệm và thủ thuật không cần thiết.</t>
        </is>
      </c>
      <c r="H8" s="15" t="inlineStr">
        <is>
          <t>Ngoại trú; đánh giá ban đầu và theo dõi dài hạn bệnh vành mạn.</t>
        </is>
      </c>
      <c r="I8" s="15" t="inlineStr">
        <is>
          <t>DRAFT — CHƯA DUYỆT: 2024 ESC CCS Guidelines cập nhật cách ước tính khả năng bệnh mạch vành và lộ trình chẩn đoán, đồng thời mở rộng ANOCA/INOCA và quản lý dài hạn; dấu hiệu nghi hội chứng vành cấp phải chuyển cấp, không đi theo baseline ngoại trú này.</t>
        </is>
      </c>
      <c r="J8" s="15" t="inlineStr">
        <is>
          <t>2024 ESC Chronic Coronary Syndromes Guidelines; truy cập 31/08/2026</t>
        </is>
      </c>
      <c r="K8" s="15" t="inlineStr">
        <is>
          <t>https://www.escardio.org/guidelines/clinical-practice-guidelines/all-esc-practice-guidelines/chronic-coronary-syndromes/ | PMID:39210710 | DOI:10.1093/eurheartj/ehae177</t>
        </is>
      </c>
      <c r="L8" s="15" t="inlineStr">
        <is>
          <t>Người dùng — tự phụ trách</t>
        </is>
      </c>
      <c r="M8" s="15" t="inlineStr">
        <is>
          <t>Người dùng — tự phụ trách</t>
        </is>
      </c>
      <c r="N8" s="15" t="inlineStr">
        <is>
          <t>Theo sự kiện</t>
        </is>
      </c>
      <c r="O8" s="41" t="n">
        <v>46265</v>
      </c>
      <c r="P8" s="41" t="n">
        <v>46370</v>
      </c>
      <c r="Q8" s="15" t="inlineStr">
        <is>
          <t>Đang thiết lập</t>
        </is>
      </c>
      <c r="R8" s="15" t="inlineStr">
        <is>
          <t>P3</t>
        </is>
      </c>
      <c r="S8" s="15" t="inlineStr">
        <is>
          <t>BACKLOG 4/6 · DRAFT — CHƯA DUYỆT · Nguồn ở cột K chỉ là nguồn khởi đầu, chưa thẩm định cấp câu hỏi · VÒNG LẶP ĐA CHUYÊN NGÀNH 2026-08-26: rà an toàn hằng tuần + chuyên sâu tuần tự theo ngày cột P · BASELINE DRAFT HOÀN THÀNH 31/08/2026 — chờ duyệt lâm sàng/phương pháp</t>
        </is>
      </c>
    </row>
    <row r="9">
      <c r="A9" s="15" t="inlineStr">
        <is>
          <t>Q-CARD-05</t>
        </is>
      </c>
      <c r="B9" s="15" t="inlineStr">
        <is>
          <t>PRJ-CARD</t>
        </is>
      </c>
      <c r="C9" s="15" t="inlineStr">
        <is>
          <t>Suy tim ngoại trú, khó thở và phù</t>
        </is>
      </c>
      <c r="D9" s="15" t="inlineStr">
        <is>
          <t>Người lớn ngoại trú có suy tim đã xác định hoặc triệu chứng khó thở/phù cần đánh giá nguyên nhân và mức độ ổn định.</t>
        </is>
      </c>
      <c r="E9" s="15" t="inlineStr">
        <is>
          <t>Đánh giá có cấu trúc, xác định kiểu hình/phân suất tống máu, tối ưu điều trị theo guideline, theo dõi sung huyết, chức năng thận/điện giải và dấu hiệu mất bù — DRAFT.</t>
        </is>
      </c>
      <c r="F9" s="15" t="inlineStr">
        <is>
          <t>Theo dõi triệu chứng đơn thuần hoặc điều trị không được rà soát hệ thống.</t>
        </is>
      </c>
      <c r="G9" s="15" t="inlineStr">
        <is>
          <t>Tử vong; nhập viện suy tim; triệu chứng/chức năng; sung huyết; chức năng thận, điện giải và tác dụng bất lợi.</t>
        </is>
      </c>
      <c r="H9" s="15" t="inlineStr">
        <is>
          <t>Ngoại trú ổn định hoặc sau xuất viện; chuyển cấp khi có dấu hiệu mất bù/nguy cơ cao.</t>
        </is>
      </c>
      <c r="I9" s="15" t="inlineStr">
        <is>
          <t>DRAFT — CHƯA DUYỆT: ESC 2026 là guideline Suy tim mới nhất, thay đổi phân loại theo LVEF, bổ sung tiếp cận theo giai đoạn và cập nhật chỉ định điều trị. Nguồn 2021 + focused update 2023 được giữ làm lịch sử/nền; chưa thay đổi thuốc hoặc pathway cho đến khi hoàn tất thẩm định kết cục, an toàn và khả năng áp dụng tại Việt Nam.</t>
        </is>
      </c>
      <c r="J9" s="15" t="inlineStr">
        <is>
          <t>2026 ESC Guidelines for the management of heart failure; phát hành 28/08/2026; truy cập 01/09/2026</t>
        </is>
      </c>
      <c r="K9" s="15" t="inlineStr">
        <is>
          <t>https://www.escardio.org/guidelines/clinical-practice-guidelines/all-esc-practice-guidelines/heart-failure/ | DOI:10.1093/eurheartj/ehag100 | PMID:chưa thấy chỉ mục 01/09/2026</t>
        </is>
      </c>
      <c r="L9" s="15" t="inlineStr">
        <is>
          <t>Người dùng — tự phụ trách</t>
        </is>
      </c>
      <c r="M9" s="15" t="inlineStr">
        <is>
          <t>Người dùng — tự phụ trách</t>
        </is>
      </c>
      <c r="N9" s="15" t="inlineStr">
        <is>
          <t>Theo sự kiện</t>
        </is>
      </c>
      <c r="O9" s="41" t="n">
        <v>46266</v>
      </c>
      <c r="P9" s="41" t="n">
        <v>46370</v>
      </c>
      <c r="Q9" s="15" t="inlineStr">
        <is>
          <t>Đang thiết lập</t>
        </is>
      </c>
      <c r="R9" s="15" t="inlineStr">
        <is>
          <t>P3</t>
        </is>
      </c>
      <c r="S9" s="15" t="inlineStr">
        <is>
          <t>BACKLOG 5/6 · DRAFT — CHƯA DUYỆT · Nguồn ở cột K chỉ là nguồn khởi đầu, chưa thẩm định cấp câu hỏi · VÒNG LẶP ĐA CHUYÊN NGÀNH 2026-08-26: rà an toàn hằng tuần + chuyên sâu tuần tự theo ngày cột P · BASELINE DRAFT HOÀN THÀNH 31/08/2026 — chờ duyệt lâm sàng/phương pháp · TÍN HIỆU 01/09/2026: ESC HF 2026 — P2, chờ thẩm định</t>
        </is>
      </c>
    </row>
    <row r="10">
      <c r="A10" s="15" t="inlineStr">
        <is>
          <t>Q-CARD-06</t>
        </is>
      </c>
      <c r="B10" s="15" t="inlineStr">
        <is>
          <t>PRJ-CARD</t>
        </is>
      </c>
      <c r="C10" s="15" t="inlineStr">
        <is>
          <t>Hồi hộp, ngất và dấu hiệu cần chuyển cấp</t>
        </is>
      </c>
      <c r="D10" s="15" t="inlineStr">
        <is>
          <t>Người lớn ngoại trú có hồi hộp, tiền ngất hoặc ngất; loại trừ ngay tình trạng không ổn định.</t>
        </is>
      </c>
      <c r="E10" s="15" t="inlineStr">
        <is>
          <t>Bệnh sử/khám/ECG ban đầu có cấu trúc, phân tầng nguy cơ và chọn theo dõi nhịp, xét nghiệm hoặc chuyển cấp theo đặc điểm — DRAFT.</t>
        </is>
      </c>
      <c r="F10" s="15" t="inlineStr">
        <is>
          <t>Đánh giá không có cấu trúc hoặc xét nghiệm đại trà không theo nguy cơ.</t>
        </is>
      </c>
      <c r="G10" s="15" t="inlineStr">
        <is>
          <t>Phát hiện nguyên nhân tim mạch/nguy cơ cao; tái phát; chấn thương; biến cố nghiêm trọng; nhập viện hoặc xét nghiệm không cần thiết.</t>
        </is>
      </c>
      <c r="H10" s="15" t="inlineStr">
        <is>
          <t>Ngoại trú khi ổn định; chuyển cấp ngay nếu có dấu hiệu nguy cơ cao hoặc không ổn định.</t>
        </is>
      </c>
      <c r="I10" s="15" t="inlineStr">
        <is>
          <t>DRAFT — CHƯA DUYỆT: 2018 ESC Syncope Guidelines vẫn là guideline ESC hiện hành cho đánh giá ban đầu, phân tầng nguy cơ và lựa chọn xét nghiệm/theo dõi; phần hồi hộp cần liên kết guideline loạn nhịp theo biểu hiện và không trì hoãn chuyển cấp khi có cờ đỏ.</t>
        </is>
      </c>
      <c r="J10" s="15" t="inlineStr">
        <is>
          <t>2018 ESC Guidelines for syncope; kiểm tra lịch xuất bản ESC ngày 31/08/2026</t>
        </is>
      </c>
      <c r="K10" s="15" t="inlineStr">
        <is>
          <t>https://www.escardio.org/guidelines/clinical-practice-guidelines/pocket-guidelines/diagnosis-and-management-of-syncope/ | PMID:29562304 | DOI:10.1093/eurheartj/ehy037</t>
        </is>
      </c>
      <c r="L10" s="15" t="inlineStr">
        <is>
          <t>Người dùng — tự phụ trách</t>
        </is>
      </c>
      <c r="M10" s="15" t="inlineStr">
        <is>
          <t>Người dùng — tự phụ trách</t>
        </is>
      </c>
      <c r="N10" s="15" t="inlineStr">
        <is>
          <t>Theo sự kiện</t>
        </is>
      </c>
      <c r="O10" s="41" t="n">
        <v>46265</v>
      </c>
      <c r="P10" s="41" t="n">
        <v>46370</v>
      </c>
      <c r="Q10" s="15" t="inlineStr">
        <is>
          <t>Đang thiết lập</t>
        </is>
      </c>
      <c r="R10" s="15" t="inlineStr">
        <is>
          <t>P3</t>
        </is>
      </c>
      <c r="S10" s="15" t="inlineStr">
        <is>
          <t>BACKLOG 6/6 · DRAFT — CHƯA DUYỆT · Nguồn ở cột K chỉ là nguồn khởi đầu, chưa thẩm định cấp câu hỏi · VÒNG LẶP ĐA CHUYÊN NGÀNH 2026-08-26: rà an toàn hằng tuần + chuyên sâu tuần tự theo ngày cột P · BASELINE DRAFT HOÀN THÀNH 31/08/2026 — chờ duyệt lâm sàng/phương pháp</t>
        </is>
      </c>
    </row>
    <row r="11">
      <c r="A11" s="15" t="inlineStr">
        <is>
          <t>Q-ENDO-01</t>
        </is>
      </c>
      <c r="B11" s="15" t="inlineStr">
        <is>
          <t>PRJ-ENDO</t>
        </is>
      </c>
      <c r="C11" s="15" t="inlineStr">
        <is>
          <t>Sàng lọc và chẩn đoán tiền đái tháo đường, đái tháo đường type 2</t>
        </is>
      </c>
      <c r="D11" s="15" t="inlineStr">
        <is>
          <t>Người lớn ngoại trú chưa chẩn đoán đái tháo đường; phân tầng theo triệu chứng, thai kỳ, thiếu máu/bệnh hemoglobin và nguy cơ cao.</t>
        </is>
      </c>
      <c r="E11" s="15" t="inlineStr">
        <is>
          <t>Sàng lọc/chẩn đoán bằng FPG, HbA1c hoặc 2-h PG sau OGTT; can thiệp lối sống và cân nhắc metformin ở nhóm tiền đái tháo đường phù hợp.</t>
        </is>
      </c>
      <c r="F11" s="15" t="inlineStr">
        <is>
          <t>Không sàng lọc hoặc chiến lược xét nghiệm khác; chăm sóc chuẩn/giả dược trong dự phòng.</t>
        </is>
      </c>
      <c r="G11" s="15" t="inlineStr">
        <is>
          <t>Chẩn đoán đúng, tiến triển thành đái tháo đường, biến cố bất lợi và gánh nặng xét nghiệm; ưu tiên kết cục tuyệt đối khi có.</t>
        </is>
      </c>
      <c r="H11" s="15" t="inlineStr">
        <is>
          <t>Ngoại trú; chẩn đoán cần xác nhận nếu không có tăng đường huyết rõ; dự phòng theo dõi ít nhất 3 năm.</t>
        </is>
      </c>
      <c r="I11" s="15" t="inlineStr">
        <is>
          <t>DRAFT — CHƯA DUYỆT: Có thể dùng FPG, HbA1c hoặc OGTT theo tiêu chuẩn ADA 2026; HbA1c 5,7–6,4%, FPG 100–125 mg/dL hoặc 2-h PG 140–199 mg/dL xác định tiền đái tháo đường. Nếu không có triệu chứng/tình trạng tăng đường huyết rõ, cần hai kết quả bất thường để xác nhận đái tháo đường. CGM chưa đủ để chẩn đoán. Trong DPP, lối sống giảm nguy cơ tương đối 58% và metformin 31% so với giả dược; NNT 3 năm lần lượt khoảng 6,9 và 13,9 ở quần thể nguy cơ cao của nghiên cứu.</t>
        </is>
      </c>
      <c r="J11" s="15" t="inlineStr">
        <is>
          <t>ADA Standards of Care 2026, Sections 2–3; DPP, NEJM 2002</t>
        </is>
      </c>
      <c r="K11" s="15" t="inlineStr">
        <is>
          <t>PMID 41358893; PMID 41358891; PMID 11832527; DOI 10.1056/NEJMoa012512</t>
        </is>
      </c>
      <c r="L11" s="15" t="inlineStr">
        <is>
          <t>Người dùng — tự phụ trách</t>
        </is>
      </c>
      <c r="M11" s="15" t="inlineStr">
        <is>
          <t>Người dùng — tự phụ trách</t>
        </is>
      </c>
      <c r="N11" s="15" t="inlineStr">
        <is>
          <t>Theo sự kiện</t>
        </is>
      </c>
      <c r="O11" s="43" t="n">
        <v>46272</v>
      </c>
      <c r="P11" s="43" t="n">
        <v>46377</v>
      </c>
      <c r="Q11" s="15" t="inlineStr">
        <is>
          <t>Đang thiết lập</t>
        </is>
      </c>
      <c r="R11" s="15" t="inlineStr">
        <is>
          <t>P2</t>
        </is>
      </c>
      <c r="S11" s="15" t="inlineStr">
        <is>
          <t>BACKLOG 1/6 · DRAFT — CHƯA DUYỆT · Nguồn ở cột K chỉ là nguồn khởi đầu, chưa thẩm định cấp câu hỏi · VÒNG LẶP ĐA CHUYÊN NGÀNH 2026-08-26: rà an toàn hằng tuần + chuyên sâu tuần tự theo ngày cột P | Baseline Nội tiết 2026-09-07: Kết quả DPP không tự động áp dụng cho mọi người có tiền đái tháo đường; cần đối chiếu nguy cơ, khả năng tham gia lối sống và chống chỉ định. [CẦN BÁC SĨ PHÁN ĐỊNH]</t>
        </is>
      </c>
    </row>
    <row r="12">
      <c r="A12" s="15" t="inlineStr">
        <is>
          <t>Q-ENDO-02</t>
        </is>
      </c>
      <c r="B12" s="15" t="inlineStr">
        <is>
          <t>PRJ-ENDO</t>
        </is>
      </c>
      <c r="C12" s="15" t="inlineStr">
        <is>
          <t>Kiểm soát đường huyết cá thể hóa</t>
        </is>
      </c>
      <c r="D12" s="15" t="inlineStr">
        <is>
          <t>Người lớn ngoại trú đái tháo đường type 2, gồm người cao tuổi, đa bệnh, nguy cơ hạ đường huyết hoặc bệnh tim mạch cao.</t>
        </is>
      </c>
      <c r="E12" s="15" t="inlineStr">
        <is>
          <t>Đặt mục tiêu HbA1c/các chỉ số CGM cá thể hóa và chọn thuốc dựa trên hiệu quả, hạ đường huyết, cân nặng, tim-thận, chi phí và ưu tiên người bệnh.</t>
        </is>
      </c>
      <c r="F12" s="15" t="inlineStr">
        <is>
          <t>Mục tiêu đường huyết ít nghiêm ngặt hơn hoặc phác đồ khác.</t>
        </is>
      </c>
      <c r="G12" s="15" t="inlineStr">
        <is>
          <t>Tử vong, MACE, biến chứng vi mạch, hạ đường huyết nặng, tăng cân, gánh nặng điều trị và chất lượng sống.</t>
        </is>
      </c>
      <c r="H12" s="15" t="inlineStr">
        <is>
          <t>Ngoại trú; đánh giá lại theo thay đổi bệnh, thuốc và nguy cơ; ACCORD theo dõi trung vị 3,5 năm.</t>
        </is>
      </c>
      <c r="I12" s="15" t="inlineStr">
        <is>
          <t>DRAFT — CHƯA DUYỆT: HbA1c &lt;7% phù hợp cho nhiều người lớn không mang thai nếu đạt được an toàn; mục tiêu phải nới lỏng hoặc giảm cường độ khi nguy cơ hạ đường huyết, suy yếu, suy giảm nhận thức/chức năng hay gánh nặng điều trị cao. Không dùng mục tiêu gần bình thường một cách cứng nhắc: ACCORD không giảm có ý nghĩa kết cục tim mạch chính (HR 0,90; KTC 95% 0,78–1,04) nhưng tăng tử vong (HR 1,22; KTC 95% 1,01–1,46) và tăng hạ đường huyết/tăng cân ở nhóm T2D nguy cơ tim mạch cao.</t>
        </is>
      </c>
      <c r="J12" s="15" t="inlineStr">
        <is>
          <t>ADA Standards of Care 2026, Sections 6 &amp; 9; ACCORD, NEJM 2008</t>
        </is>
      </c>
      <c r="K12" s="15" t="inlineStr">
        <is>
          <t>PMID 41358894; PMID 41358900; PMID 18539917; DOI 10.1056/NEJMoa0802743</t>
        </is>
      </c>
      <c r="L12" s="15" t="inlineStr">
        <is>
          <t>Người dùng — tự phụ trách</t>
        </is>
      </c>
      <c r="M12" s="15" t="inlineStr">
        <is>
          <t>Người dùng — tự phụ trách</t>
        </is>
      </c>
      <c r="N12" s="15" t="inlineStr">
        <is>
          <t>Theo sự kiện</t>
        </is>
      </c>
      <c r="O12" s="43" t="n">
        <v>46272</v>
      </c>
      <c r="P12" s="43" t="n">
        <v>46377</v>
      </c>
      <c r="Q12" s="15" t="inlineStr">
        <is>
          <t>Đang thiết lập</t>
        </is>
      </c>
      <c r="R12" s="15" t="inlineStr">
        <is>
          <t>P2</t>
        </is>
      </c>
      <c r="S12" s="15" t="inlineStr">
        <is>
          <t>BACKLOG 2/6 · DRAFT — CHƯA DUYỆT · Nguồn ở cột K chỉ là nguồn khởi đầu, chưa thẩm định cấp câu hỏi · VÒNG LẶP ĐA CHUYÊN NGÀNH 2026-08-26: rà an toàn hằng tuần + chuyên sâu tuần tự theo ngày cột P | Baseline Nội tiết 2026-09-07: Không suy rộng ACCORD sang người mới mắc/nguy cơ thấp; lựa chọn thuốc và mục tiêu là quyết định lâm sàng cá thể hóa. [CẦN BÁC SĨ PHÁN ĐỊNH]</t>
        </is>
      </c>
    </row>
    <row r="13">
      <c r="A13" s="15" t="inlineStr">
        <is>
          <t>Q-ENDO-03</t>
        </is>
      </c>
      <c r="B13" s="15" t="inlineStr">
        <is>
          <t>PRJ-ENDO</t>
        </is>
      </c>
      <c r="C13" s="15" t="inlineStr">
        <is>
          <t>Thừa cân, béo phì và hội chứng chuyển hóa</t>
        </is>
      </c>
      <c r="D13" s="15" t="inlineStr">
        <is>
          <t>Người lớn ngoại trú thừa cân/béo phì, có hoặc không đái tháo đường; lưu ý ngưỡng BMI/vòng eo theo dân số châu Á.</t>
        </is>
      </c>
      <c r="E13" s="15" t="inlineStr">
        <is>
          <t>Đánh giá BMI, vòng eo và biến chứng; can thiệp lối sống, dược trị hoặc chuyển đánh giá phẫu thuật theo bối cảnh.</t>
        </is>
      </c>
      <c r="F13" s="15" t="inlineStr">
        <is>
          <t>Chăm sóc thông thường, giả dược hoặc chiến lược quản lý cân nặng khác.</t>
        </is>
      </c>
      <c r="G13" s="15" t="inlineStr">
        <is>
          <t>Giảm cân duy trì, kiểm soát đường huyết, MACE, biến cố bất lợi, ngừng thuốc, chất lượng sống và khả năng tiếp cận.</t>
        </is>
      </c>
      <c r="H13" s="15" t="inlineStr">
        <is>
          <t>Ngoại trú; đánh giá ít nhất hằng năm và sau mỗi thay đổi điều trị; SELECT theo dõi trung bình 39,8 tháng.</t>
        </is>
      </c>
      <c r="I13" s="15" t="inlineStr">
        <is>
          <t>DRAFT — CHƯA DUYỆT: Quản lý béo phì cần ngôn ngữ không kỳ thị, mục tiêu cá thể hóa và đánh giá biến chứng; giảm 5–7% cân nặng thường cải thiện đường huyết/yếu tố nguy cơ trung gian. Trong SELECT, semaglutide 2,4 mg/tuần giảm MACE 6,5% so với 8,0% (HR 0,80; KTC 95% 0,72–0,90; ARR 1,5 điểm %, NNT xấp xỉ 67 trong khoảng 40 tháng), nhưng tăng ngừng điều trị do biến cố bất lợi 16,6% so với 8,2%. Quần thể SELECT có bệnh tim mạch sẵn, BMI ≥27 và không đái tháo đường.</t>
        </is>
      </c>
      <c r="J13" s="15" t="inlineStr">
        <is>
          <t>ADA Standards of Care 2026, Section 8; SELECT, NEJM 2023; Obesity Standards 2026</t>
        </is>
      </c>
      <c r="K13" s="15" t="inlineStr">
        <is>
          <t>PMID 41358882; PMID 37952131; PMID 42242835; DOI 10.1056/NEJMoa2307563; DOI 10.2337/doci26-0003</t>
        </is>
      </c>
      <c r="L13" s="15" t="inlineStr">
        <is>
          <t>Người dùng — tự phụ trách</t>
        </is>
      </c>
      <c r="M13" s="15" t="inlineStr">
        <is>
          <t>Người dùng — tự phụ trách</t>
        </is>
      </c>
      <c r="N13" s="15" t="inlineStr">
        <is>
          <t>Theo sự kiện</t>
        </is>
      </c>
      <c r="O13" s="43" t="n">
        <v>46272</v>
      </c>
      <c r="P13" s="43" t="n">
        <v>46377</v>
      </c>
      <c r="Q13" s="15" t="inlineStr">
        <is>
          <t>Đang thiết lập</t>
        </is>
      </c>
      <c r="R13" s="15" t="inlineStr">
        <is>
          <t>P2</t>
        </is>
      </c>
      <c r="S13" s="15" t="inlineStr">
        <is>
          <t>BACKLOG 3/6 · DRAFT — CHƯA DUYỆT · Nguồn ở cột K chỉ là nguồn khởi đầu, chưa thẩm định cấp câu hỏi · VÒNG LẶP ĐA CHUYÊN NGÀNH 2026-08-26: rà an toàn hằng tuần + chuyên sâu tuần tự theo ngày cột P | Baseline Nội tiết 2026-09-07: Không suy rộng SELECT cho đái tháo đường hoặc dự phòng tiên phát. Nguồn Obesity Standards 2026 là tín hiệu mới, cần duyệt ngưỡng châu Á/Việt Nam và quy trình triển khai. [CẦN BÁC SĨ PHÁN ĐỊNH]</t>
        </is>
      </c>
    </row>
    <row r="14">
      <c r="A14" s="15" t="inlineStr">
        <is>
          <t>Q-ENDO-04</t>
        </is>
      </c>
      <c r="B14" s="15" t="inlineStr">
        <is>
          <t>PRJ-ENDO</t>
        </is>
      </c>
      <c r="C14" s="15" t="inlineStr">
        <is>
          <t>Suy giáp, cường giáp và nhân giáp</t>
        </is>
      </c>
      <c r="D14" s="15" t="inlineStr">
        <is>
          <t>Người lớn ngoại trú có triệu chứng/rối loạn xét nghiệm tuyến giáp hoặc nhân giáp; loại trừ thai kỳ và cấp cứu tuyến giáp khỏi baseline chung.</t>
        </is>
      </c>
      <c r="E14" s="15" t="inlineStr">
        <is>
          <t>Chiến lược xét nghiệm TSH/FT4 có mục tiêu; điều trị suy/cường giáp; phân tầng siêu âm và chọc hút nhân giáp theo nguy cơ.</t>
        </is>
      </c>
      <c r="F14" s="15" t="inlineStr">
        <is>
          <t>Theo dõi, ngưỡng can thiệp khác hoặc giả dược ở suy giáp dưới lâm sàng.</t>
        </is>
      </c>
      <c r="G14" s="15" t="inlineStr">
        <is>
          <t>Triệu chứng, chất lượng sống, biến cố tim mạch/xương, phát hiện ung thư có ý nghĩa, thủ thuật không cần thiết và tác hại điều trị.</t>
        </is>
      </c>
      <c r="H14" s="15" t="inlineStr">
        <is>
          <t>Ngoại trú; nhịp xét nghiệm/theo dõi tùy chẩn đoán và nguy cơ; không áp dụng cho cơn bão giáp/phù niêm cấp.</t>
        </is>
      </c>
      <c r="I14" s="15" t="inlineStr">
        <is>
          <t>DRAFT — CHƯA DUYỆT: Dùng NICE NG145 (cập nhật 12/10/2023, rà lại 03/10/2025) cho khung đánh giá/điều trị tuyến giáp và ETA 2023 cho nhân giáp theo nguy cơ. Ở người ≥65 tuổi có suy giáp dưới lâm sàng nhẹ, TRUST không cho thấy levothyroxine cải thiện điểm triệu chứng (khác biệt 0,0; KTC 95% −2,0 đến 2,1) hoặc mệt mỏi (0,4; −2,1 đến 2,9) sau 1 năm. Hướng dẫn ATA cường giáp 2016 phải được đọc cùng các corrigendum 2017 và 2025.</t>
        </is>
      </c>
      <c r="J14" s="15" t="inlineStr">
        <is>
          <t>NICE NG145 updated 2023/reviewed 2025; ETA 2023; ATA 2016 + corrigenda; TRUST 2017</t>
        </is>
      </c>
      <c r="K14" s="15" t="inlineStr">
        <is>
          <t>https://www.nice.org.uk/guidance/ng145/; PMID 37358008; PMID 27521067; PMID 29035639; PMID 40765504; PMID 28402245</t>
        </is>
      </c>
      <c r="L14" s="15" t="inlineStr">
        <is>
          <t>Người dùng — tự phụ trách</t>
        </is>
      </c>
      <c r="M14" s="15" t="inlineStr">
        <is>
          <t>Người dùng — tự phụ trách</t>
        </is>
      </c>
      <c r="N14" s="15" t="inlineStr">
        <is>
          <t>Theo sự kiện</t>
        </is>
      </c>
      <c r="O14" s="43" t="n">
        <v>46272</v>
      </c>
      <c r="P14" s="43" t="n">
        <v>46377</v>
      </c>
      <c r="Q14" s="15" t="inlineStr">
        <is>
          <t>Đang thiết lập</t>
        </is>
      </c>
      <c r="R14" s="15" t="inlineStr">
        <is>
          <t>P3</t>
        </is>
      </c>
      <c r="S14" s="15" t="inlineStr">
        <is>
          <t>BACKLOG 4/6 · DRAFT — CHƯA DUYỆT · Nguồn ở cột K chỉ là nguồn khởi đầu, chưa thẩm định cấp câu hỏi · VÒNG LẶP ĐA CHUYÊN NGÀNH 2026-08-26: rà an toàn hằng tuần + chuyên sâu tuần tự theo ngày cột P | Baseline Nội tiết 2026-09-07: TRUST chỉ áp dụng cho người lớn tuổi với suy giáp dưới lâm sàng nhẹ; không áp dụng cho suy giáp rõ, thai kỳ hoặc TSH rất cao. [CẦN BÁC SĨ PHÁN ĐỊNH]</t>
        </is>
      </c>
    </row>
    <row r="15">
      <c r="A15" s="15" t="inlineStr">
        <is>
          <t>Q-ENDO-05</t>
        </is>
      </c>
      <c r="B15" s="15" t="inlineStr">
        <is>
          <t>PRJ-ENDO</t>
        </is>
      </c>
      <c r="C15" s="15" t="inlineStr">
        <is>
          <t>Tầm soát biến chứng mắt, thận, thần kinh và bàn chân</t>
        </is>
      </c>
      <c r="D15" s="15" t="inlineStr">
        <is>
          <t>Người ngoại trú đái tháo đường type 1 từ 5 năm trở lên và mọi người đái tháo đường type 2; phân tầng theo nguy cơ thận, mắt, thần kinh và bàn chân.</t>
        </is>
      </c>
      <c r="E15" s="15" t="inlineStr">
        <is>
          <t>Sàng lọc định kỳ UACR/eGFR, võng mạc, bệnh thần kinh và khám bàn chân toàn diện; chuyển tuyến theo bất thường.</t>
        </is>
      </c>
      <c r="F15" s="15" t="inlineStr">
        <is>
          <t>Không sàng lọc hoặc nhịp sàng lọc khác.</t>
        </is>
      </c>
      <c r="G15" s="15" t="inlineStr">
        <is>
          <t>Bệnh thận tiến triển, mất thị lực, loét/cắt cụt chi, chuyển tuyến kịp thời, xét nghiệm/thủ thuật không cần thiết và gánh nặng theo dõi.</t>
        </is>
      </c>
      <c r="H15" s="15" t="inlineStr">
        <is>
          <t>Ngoại trú: UACR/eGFR hằng năm ở T1 ≥5 năm và mọi T2; mắt T1 sau 5 năm, T2 lúc chẩn đoán; bàn chân ít nhất hằng năm, mỗi lần khám nếu nguy cơ cao.</t>
        </is>
      </c>
      <c r="I15" s="15" t="inlineStr">
        <is>
          <t>DRAFT — CHƯA DUYỆT: ADA 2026 đề nghị UACR ngẫu nhiên và eGFR ít nhất hằng năm ở T1 thời gian bệnh ≥5 năm và mọi T2; khám mắt giãn đồng tử ban đầu sau 5 năm ở T1 và tại chẩn đoán ở T2; đánh giá bàn chân toàn diện ít nhất hằng năm, và kiểm tra mỗi lần khám nếu mất cảm giác bảo vệ hoặc tiền sử loét/cắt cụt. Chưa trích xuất được ARR/NNT cho toàn bộ gói sàng lọc; đây là mốc vận hành từ guideline, không phải ước lượng hiệu quả của một thử nghiệm đơn lẻ.</t>
        </is>
      </c>
      <c r="J15" s="15" t="inlineStr">
        <is>
          <t>ADA Standards of Care 2026, Sections 11–12</t>
        </is>
      </c>
      <c r="K15" s="15" t="inlineStr">
        <is>
          <t>PMID 41358881; PMID 41358886; DOI 10.2337/dc26-S011; DOI 10.2337/dc26-S012</t>
        </is>
      </c>
      <c r="L15" s="15" t="inlineStr">
        <is>
          <t>Người dùng — tự phụ trách</t>
        </is>
      </c>
      <c r="M15" s="15" t="inlineStr">
        <is>
          <t>Người dùng — tự phụ trách</t>
        </is>
      </c>
      <c r="N15" s="15" t="inlineStr">
        <is>
          <t>Theo sự kiện</t>
        </is>
      </c>
      <c r="O15" s="43" t="n">
        <v>46272</v>
      </c>
      <c r="P15" s="43" t="n">
        <v>46377</v>
      </c>
      <c r="Q15" s="15" t="inlineStr">
        <is>
          <t>Đang thiết lập</t>
        </is>
      </c>
      <c r="R15" s="15" t="inlineStr">
        <is>
          <t>P3</t>
        </is>
      </c>
      <c r="S15" s="15" t="inlineStr">
        <is>
          <t>BACKLOG 5/6 · DRAFT — CHƯA DUYỆT · Nguồn ở cột K chỉ là nguồn khởi đầu, chưa thẩm định cấp câu hỏi · VÒNG LẶP ĐA CHUYÊN NGÀNH 2026-08-26: rà an toàn hằng tuần + chuyên sâu tuần tự theo ngày cột P | Baseline Nội tiết 2026-09-07: Cần địa phương hóa năng lực chụp đáy mắt, UACR và chuyển tuyến; không biến lịch guideline thành bảo đảm lợi ích tuyệt đối. [CẦN BÁC SĨ PHÁN ĐỊNH]</t>
        </is>
      </c>
    </row>
    <row r="16">
      <c r="A16" s="15" t="inlineStr">
        <is>
          <t>Q-ENDO-06</t>
        </is>
      </c>
      <c r="B16" s="15" t="inlineStr">
        <is>
          <t>PRJ-ENDO</t>
        </is>
      </c>
      <c r="C16" s="15" t="inlineStr">
        <is>
          <t>Hạ đường huyết và quản lý ngày ốm</t>
        </is>
      </c>
      <c r="D16" s="15" t="inlineStr">
        <is>
          <t>Người lớn ngoại trú đái tháo đường dùng thuốc hạ đường huyết, đặc biệt insulin hoặc nguy cơ hạ đường huyết/nhiễm ceton.</t>
        </is>
      </c>
      <c r="E16" s="15" t="inlineStr">
        <is>
          <t>Kế hoạch ngày ốm và phòng-xử trí hạ đường huyết: theo dõi glucose/ketone, điều chỉnh thuốc theo tình trạng ăn uống/mất nước, glucose uống, glucagon, giáo dục và ngưỡng liên hệ/chuyển cấp cứu.</t>
        </is>
      </c>
      <c r="F16" s="15" t="inlineStr">
        <is>
          <t>Chăm sóc thông thường hoặc theo dõi đường huyết mao mạch ở người lớn tuổi T1.</t>
        </is>
      </c>
      <c r="G16" s="15" t="inlineStr">
        <is>
          <t>Thời gian dưới 70 mg/dL, hạ đường huyết nặng, DKA/HHS, nhập viện, biến cố thuốc và khả năng tự xử trí.</t>
        </is>
      </c>
      <c r="H16" s="15" t="inlineStr">
        <is>
          <t>Mỗi lần khám cần rà nguy cơ hạ đường huyết; kích hoạt kế hoạch khi bệnh cấp/ăn uống kém; WISDM theo dõi 6 tháng.</t>
        </is>
      </c>
      <c r="I16" s="15" t="inlineStr">
        <is>
          <t>DRAFT — CHƯA DUYỆT: Rà hạ đường huyết mỗi lần khám; người tỉnh có glucose &lt;70 mg/dL dùng carbohydrate tác dụng nhanh và kiểm tra lại sau 15 phút; glucagon cho người dùng insulin/nguy cơ cao và giáo dục người thân. Khi bệnh cấp cần tăng theo dõi glucose, đo ketone nếu dễ nhiễm ceton và điều chỉnh thuốc theo mất nước/ăn uống/chức năng thận—không có quy tắc ngừng thuốc đồng loạt. Trong WISDM ở người ≥60 tuổi T1, CGM giảm thời gian &lt;70 mg/dL khoảng 27 phút/ngày (KTC 95% 16–40) và ghi nhận hạ đường huyết nặng 1 so với 10 trong 6 tháng.</t>
        </is>
      </c>
      <c r="J16" s="15" t="inlineStr">
        <is>
          <t>ADA Standards of Care 2026, Section 6; WISDM, JAMA 2020</t>
        </is>
      </c>
      <c r="K16" s="15" t="inlineStr">
        <is>
          <t>PMID 41358894; PMID 32543682; DOI 10.1001/jama.2020.6928</t>
        </is>
      </c>
      <c r="L16" s="15" t="inlineStr">
        <is>
          <t>Người dùng — tự phụ trách</t>
        </is>
      </c>
      <c r="M16" s="15" t="inlineStr">
        <is>
          <t>Người dùng — tự phụ trách</t>
        </is>
      </c>
      <c r="N16" s="15" t="inlineStr">
        <is>
          <t>Theo sự kiện</t>
        </is>
      </c>
      <c r="O16" s="43" t="n">
        <v>46272</v>
      </c>
      <c r="P16" s="43" t="n">
        <v>46377</v>
      </c>
      <c r="Q16" s="15" t="inlineStr">
        <is>
          <t>Đang thiết lập</t>
        </is>
      </c>
      <c r="R16" s="15" t="inlineStr">
        <is>
          <t>P3</t>
        </is>
      </c>
      <c r="S16" s="15" t="inlineStr">
        <is>
          <t>BACKLOG 6/6 · DRAFT — CHƯA DUYỆT · Nguồn ở cột K chỉ là nguồn khởi đầu, chưa thẩm định cấp câu hỏi · VÒNG LẶP ĐA CHUYÊN NGÀNH 2026-08-26: rà an toàn hằng tuần + chuyên sâu tuần tự theo ngày cột P | Baseline Nội tiết 2026-09-07: Kết quả WISDM chỉ hỗ trợ CGM ở người lớn tuổi T1; kế hoạch ngày ốm và ngưỡng cấp cứu phải được bác sĩ phê duyệt theo thuốc/bệnh kèm. [CẦN BÁC SĨ PHÁN ĐỊNH]</t>
        </is>
      </c>
    </row>
    <row r="17">
      <c r="A17" s="15" t="inlineStr">
        <is>
          <t>Q-NEPH-01</t>
        </is>
      </c>
      <c r="B17" s="15" t="inlineStr">
        <is>
          <t>PRJ-NEPH</t>
        </is>
      </c>
      <c r="C17" s="15" t="inlineStr">
        <is>
          <t>Phát hiện và phân tầng CKD bằng eGFR và uACR</t>
        </is>
      </c>
      <c r="D17" s="15" t="inlineStr">
        <is>
          <t>Người lớn khám ngoại trú có nguy cơ hoặc biểu hiện bệnh thận</t>
        </is>
      </c>
      <c r="E17" s="15" t="inlineStr">
        <is>
          <t>CHƯA XÁC LẬP — hoàn thiện PICO khi dự án được kích hoạt</t>
        </is>
      </c>
      <c r="F17" s="15" t="inlineStr">
        <is>
          <t>CHƯA XÁC LẬP — hoàn thiện PICO khi dự án được kích hoạt</t>
        </is>
      </c>
      <c r="G17" s="15" t="inlineStr">
        <is>
          <t>CHƯA XÁC LẬP — hoàn thiện PICO khi dự án được kích hoạt</t>
        </is>
      </c>
      <c r="H17" s="15" t="inlineStr">
        <is>
          <t>Khám ngoại trú; thời gian theo dõi CHƯA XÁC LẬP</t>
        </is>
      </c>
      <c r="I17" s="15" t="inlineStr">
        <is>
          <t>CHƯA KHẢO SÁT — DRAFT — CHƯA DUYỆT</t>
        </is>
      </c>
      <c r="J17" s="15" t="inlineStr">
        <is>
          <t>Danh mục khởi tạo 2026-08-25</t>
        </is>
      </c>
      <c r="K17" s="15" t="inlineStr">
        <is>
          <t>https://kdigo.org/guidelines/ckd-evaluation-and-management/</t>
        </is>
      </c>
      <c r="L17" s="15" t="inlineStr">
        <is>
          <t>CHƯA GÁN — chỉ gán khi dự án được chọn</t>
        </is>
      </c>
      <c r="M17" s="15" t="inlineStr">
        <is>
          <t>Người dùng — tự phụ trách</t>
        </is>
      </c>
      <c r="N17" s="15" t="inlineStr">
        <is>
          <t>Theo sự kiện</t>
        </is>
      </c>
      <c r="O17" s="15" t="n"/>
      <c r="P17" s="41" t="n">
        <v>46279</v>
      </c>
      <c r="Q17" s="15" t="inlineStr">
        <is>
          <t>Đang thiết lập</t>
        </is>
      </c>
      <c r="R17" s="15" t="inlineStr">
        <is>
          <t>P2</t>
        </is>
      </c>
      <c r="S17" s="15" t="inlineStr">
        <is>
          <t>BACKLOG 1/6 · DRAFT — CHƯA DUYỆT · Nguồn ở cột K chỉ là nguồn khởi đầu, chưa thẩm định cấp câu hỏi · VÒNG LẶP ĐA CHUYÊN NGÀNH 2026-08-26: rà an toàn hằng tuần + chuyên sâu tuần tự theo ngày cột P</t>
        </is>
      </c>
    </row>
    <row r="18">
      <c r="A18" s="15" t="inlineStr">
        <is>
          <t>Q-NEPH-02</t>
        </is>
      </c>
      <c r="B18" s="15" t="inlineStr">
        <is>
          <t>PRJ-NEPH</t>
        </is>
      </c>
      <c r="C18" s="15" t="inlineStr">
        <is>
          <t>Nguy cơ tiến triển CKD và thời điểm chuyển chuyên khoa</t>
        </is>
      </c>
      <c r="D18" s="15" t="inlineStr">
        <is>
          <t>Người lớn khám ngoại trú có nguy cơ hoặc biểu hiện bệnh thận</t>
        </is>
      </c>
      <c r="E18" s="15" t="inlineStr">
        <is>
          <t>CHƯA XÁC LẬP — hoàn thiện PICO khi dự án được kích hoạt</t>
        </is>
      </c>
      <c r="F18" s="15" t="inlineStr">
        <is>
          <t>CHƯA XÁC LẬP — hoàn thiện PICO khi dự án được kích hoạt</t>
        </is>
      </c>
      <c r="G18" s="15" t="inlineStr">
        <is>
          <t>CHƯA XÁC LẬP — hoàn thiện PICO khi dự án được kích hoạt</t>
        </is>
      </c>
      <c r="H18" s="15" t="inlineStr">
        <is>
          <t>Khám ngoại trú; thời gian theo dõi CHƯA XÁC LẬP</t>
        </is>
      </c>
      <c r="I18" s="15" t="inlineStr">
        <is>
          <t>CHƯA KHẢO SÁT — DRAFT — CHƯA DUYỆT</t>
        </is>
      </c>
      <c r="J18" s="15" t="inlineStr">
        <is>
          <t>Danh mục khởi tạo 2026-08-25</t>
        </is>
      </c>
      <c r="K18" s="15" t="inlineStr">
        <is>
          <t>https://kdigo.org/guidelines/ckd-evaluation-and-management/</t>
        </is>
      </c>
      <c r="L18" s="15" t="inlineStr">
        <is>
          <t>CHƯA GÁN — chỉ gán khi dự án được chọn</t>
        </is>
      </c>
      <c r="M18" s="15" t="inlineStr">
        <is>
          <t>Người dùng — tự phụ trách</t>
        </is>
      </c>
      <c r="N18" s="15" t="inlineStr">
        <is>
          <t>Theo sự kiện</t>
        </is>
      </c>
      <c r="O18" s="15" t="n"/>
      <c r="P18" s="41" t="n">
        <v>46279</v>
      </c>
      <c r="Q18" s="15" t="inlineStr">
        <is>
          <t>Đang thiết lập</t>
        </is>
      </c>
      <c r="R18" s="15" t="inlineStr">
        <is>
          <t>P2</t>
        </is>
      </c>
      <c r="S18" s="15" t="inlineStr">
        <is>
          <t>BACKLOG 2/6 · DRAFT — CHƯA DUYỆT · Nguồn ở cột K chỉ là nguồn khởi đầu, chưa thẩm định cấp câu hỏi · VÒNG LẶP ĐA CHUYÊN NGÀNH 2026-08-26: rà an toàn hằng tuần + chuyên sâu tuần tự theo ngày cột P</t>
        </is>
      </c>
    </row>
    <row r="19">
      <c r="A19" s="15" t="inlineStr">
        <is>
          <t>Q-NEPH-03</t>
        </is>
      </c>
      <c r="B19" s="15" t="inlineStr">
        <is>
          <t>PRJ-NEPH</t>
        </is>
      </c>
      <c r="C19" s="15" t="inlineStr">
        <is>
          <t>Tăng huyết áp và bảo vệ thận</t>
        </is>
      </c>
      <c r="D19" s="15" t="inlineStr">
        <is>
          <t>Người lớn khám ngoại trú có nguy cơ hoặc biểu hiện bệnh thận</t>
        </is>
      </c>
      <c r="E19" s="15" t="inlineStr">
        <is>
          <t>CHƯA XÁC LẬP — hoàn thiện PICO khi dự án được kích hoạt</t>
        </is>
      </c>
      <c r="F19" s="15" t="inlineStr">
        <is>
          <t>CHƯA XÁC LẬP — hoàn thiện PICO khi dự án được kích hoạt</t>
        </is>
      </c>
      <c r="G19" s="15" t="inlineStr">
        <is>
          <t>CHƯA XÁC LẬP — hoàn thiện PICO khi dự án được kích hoạt</t>
        </is>
      </c>
      <c r="H19" s="15" t="inlineStr">
        <is>
          <t>Khám ngoại trú; thời gian theo dõi CHƯA XÁC LẬP</t>
        </is>
      </c>
      <c r="I19" s="15" t="inlineStr">
        <is>
          <t>CHƯA KHẢO SÁT — DRAFT — CHƯA DUYỆT</t>
        </is>
      </c>
      <c r="J19" s="15" t="inlineStr">
        <is>
          <t>Danh mục khởi tạo 2026-08-25</t>
        </is>
      </c>
      <c r="K19" s="15" t="inlineStr">
        <is>
          <t>https://kdigo.org/guidelines/ckd-evaluation-and-management/</t>
        </is>
      </c>
      <c r="L19" s="15" t="inlineStr">
        <is>
          <t>CHƯA GÁN — chỉ gán khi dự án được chọn</t>
        </is>
      </c>
      <c r="M19" s="15" t="inlineStr">
        <is>
          <t>Người dùng — tự phụ trách</t>
        </is>
      </c>
      <c r="N19" s="15" t="inlineStr">
        <is>
          <t>Theo sự kiện</t>
        </is>
      </c>
      <c r="O19" s="15" t="n"/>
      <c r="P19" s="41" t="n">
        <v>46279</v>
      </c>
      <c r="Q19" s="15" t="inlineStr">
        <is>
          <t>Đang thiết lập</t>
        </is>
      </c>
      <c r="R19" s="15" t="inlineStr">
        <is>
          <t>P2</t>
        </is>
      </c>
      <c r="S19" s="15" t="inlineStr">
        <is>
          <t>BACKLOG 3/6 · DRAFT — CHƯA DUYỆT · Nguồn ở cột K chỉ là nguồn khởi đầu, chưa thẩm định cấp câu hỏi · VÒNG LẶP ĐA CHUYÊN NGÀNH 2026-08-26: rà an toàn hằng tuần + chuyên sâu tuần tự theo ngày cột P</t>
        </is>
      </c>
    </row>
    <row r="20">
      <c r="A20" s="15" t="inlineStr">
        <is>
          <t>Q-NEPH-04</t>
        </is>
      </c>
      <c r="B20" s="15" t="inlineStr">
        <is>
          <t>PRJ-NEPH</t>
        </is>
      </c>
      <c r="C20" s="15" t="inlineStr">
        <is>
          <t>Protein niệu và tiểu máu</t>
        </is>
      </c>
      <c r="D20" s="15" t="inlineStr">
        <is>
          <t>Người lớn khám ngoại trú có nguy cơ hoặc biểu hiện bệnh thận</t>
        </is>
      </c>
      <c r="E20" s="15" t="inlineStr">
        <is>
          <t>CHƯA XÁC LẬP — hoàn thiện PICO khi dự án được kích hoạt</t>
        </is>
      </c>
      <c r="F20" s="15" t="inlineStr">
        <is>
          <t>CHƯA XÁC LẬP — hoàn thiện PICO khi dự án được kích hoạt</t>
        </is>
      </c>
      <c r="G20" s="15" t="inlineStr">
        <is>
          <t>CHƯA XÁC LẬP — hoàn thiện PICO khi dự án được kích hoạt</t>
        </is>
      </c>
      <c r="H20" s="15" t="inlineStr">
        <is>
          <t>Khám ngoại trú; thời gian theo dõi CHƯA XÁC LẬP</t>
        </is>
      </c>
      <c r="I20" s="15" t="inlineStr">
        <is>
          <t>CHƯA KHẢO SÁT — DRAFT — CHƯA DUYỆT</t>
        </is>
      </c>
      <c r="J20" s="15" t="inlineStr">
        <is>
          <t>Danh mục khởi tạo 2026-08-25</t>
        </is>
      </c>
      <c r="K20" s="15" t="inlineStr">
        <is>
          <t>https://kdigo.org/guidelines/ckd-evaluation-and-management/</t>
        </is>
      </c>
      <c r="L20" s="15" t="inlineStr">
        <is>
          <t>CHƯA GÁN — chỉ gán khi dự án được chọn</t>
        </is>
      </c>
      <c r="M20" s="15" t="inlineStr">
        <is>
          <t>Người dùng — tự phụ trách</t>
        </is>
      </c>
      <c r="N20" s="15" t="inlineStr">
        <is>
          <t>Theo sự kiện</t>
        </is>
      </c>
      <c r="O20" s="15" t="n"/>
      <c r="P20" s="41" t="n">
        <v>46279</v>
      </c>
      <c r="Q20" s="15" t="inlineStr">
        <is>
          <t>Đang thiết lập</t>
        </is>
      </c>
      <c r="R20" s="15" t="inlineStr">
        <is>
          <t>P3</t>
        </is>
      </c>
      <c r="S20" s="15" t="inlineStr">
        <is>
          <t>BACKLOG 4/6 · DRAFT — CHƯA DUYỆT · Nguồn ở cột K chỉ là nguồn khởi đầu, chưa thẩm định cấp câu hỏi · VÒNG LẶP ĐA CHUYÊN NGÀNH 2026-08-26: rà an toàn hằng tuần + chuyên sâu tuần tự theo ngày cột P</t>
        </is>
      </c>
    </row>
    <row r="21">
      <c r="A21" s="15" t="inlineStr">
        <is>
          <t>Q-NEPH-05</t>
        </is>
      </c>
      <c r="B21" s="15" t="inlineStr">
        <is>
          <t>PRJ-NEPH</t>
        </is>
      </c>
      <c r="C21" s="15" t="inlineStr">
        <is>
          <t>AKI liên quan mất nước hoặc thuốc</t>
        </is>
      </c>
      <c r="D21" s="15" t="inlineStr">
        <is>
          <t>Người lớn khám ngoại trú có nguy cơ hoặc biểu hiện bệnh thận</t>
        </is>
      </c>
      <c r="E21" s="15" t="inlineStr">
        <is>
          <t>CHƯA XÁC LẬP — hoàn thiện PICO khi dự án được kích hoạt</t>
        </is>
      </c>
      <c r="F21" s="15" t="inlineStr">
        <is>
          <t>CHƯA XÁC LẬP — hoàn thiện PICO khi dự án được kích hoạt</t>
        </is>
      </c>
      <c r="G21" s="15" t="inlineStr">
        <is>
          <t>CHƯA XÁC LẬP — hoàn thiện PICO khi dự án được kích hoạt</t>
        </is>
      </c>
      <c r="H21" s="15" t="inlineStr">
        <is>
          <t>Khám ngoại trú; thời gian theo dõi CHƯA XÁC LẬP</t>
        </is>
      </c>
      <c r="I21" s="15" t="inlineStr">
        <is>
          <t>CHƯA KHẢO SÁT — DRAFT — CHƯA DUYỆT</t>
        </is>
      </c>
      <c r="J21" s="15" t="inlineStr">
        <is>
          <t>Danh mục khởi tạo 2026-08-25</t>
        </is>
      </c>
      <c r="K21" s="15" t="inlineStr">
        <is>
          <t>https://kdigo.org/guidelines/ckd-evaluation-and-management/</t>
        </is>
      </c>
      <c r="L21" s="15" t="inlineStr">
        <is>
          <t>CHƯA GÁN — chỉ gán khi dự án được chọn</t>
        </is>
      </c>
      <c r="M21" s="15" t="inlineStr">
        <is>
          <t>Người dùng — tự phụ trách</t>
        </is>
      </c>
      <c r="N21" s="15" t="inlineStr">
        <is>
          <t>Theo sự kiện</t>
        </is>
      </c>
      <c r="O21" s="15" t="n"/>
      <c r="P21" s="41" t="n">
        <v>46279</v>
      </c>
      <c r="Q21" s="15" t="inlineStr">
        <is>
          <t>Đang thiết lập</t>
        </is>
      </c>
      <c r="R21" s="15" t="inlineStr">
        <is>
          <t>P3</t>
        </is>
      </c>
      <c r="S21" s="15" t="inlineStr">
        <is>
          <t>BACKLOG 5/6 · DRAFT — CHƯA DUYỆT · Nguồn ở cột K chỉ là nguồn khởi đầu, chưa thẩm định cấp câu hỏi · VÒNG LẶP ĐA CHUYÊN NGÀNH 2026-08-26: rà an toàn hằng tuần + chuyên sâu tuần tự theo ngày cột P</t>
        </is>
      </c>
    </row>
    <row r="22">
      <c r="A22" s="15" t="inlineStr">
        <is>
          <t>Q-NEPH-06</t>
        </is>
      </c>
      <c r="B22" s="15" t="inlineStr">
        <is>
          <t>PRJ-NEPH</t>
        </is>
      </c>
      <c r="C22" s="15" t="inlineStr">
        <is>
          <t>Rối loạn kali, natri và chỉnh liều thuốc theo chức năng thận</t>
        </is>
      </c>
      <c r="D22" s="15" t="inlineStr">
        <is>
          <t>Người lớn khám ngoại trú có nguy cơ hoặc biểu hiện bệnh thận</t>
        </is>
      </c>
      <c r="E22" s="15" t="inlineStr">
        <is>
          <t>CHƯA XÁC LẬP — hoàn thiện PICO khi dự án được kích hoạt</t>
        </is>
      </c>
      <c r="F22" s="15" t="inlineStr">
        <is>
          <t>CHƯA XÁC LẬP — hoàn thiện PICO khi dự án được kích hoạt</t>
        </is>
      </c>
      <c r="G22" s="15" t="inlineStr">
        <is>
          <t>CHƯA XÁC LẬP — hoàn thiện PICO khi dự án được kích hoạt</t>
        </is>
      </c>
      <c r="H22" s="15" t="inlineStr">
        <is>
          <t>Khám ngoại trú; thời gian theo dõi CHƯA XÁC LẬP</t>
        </is>
      </c>
      <c r="I22" s="15" t="inlineStr">
        <is>
          <t>CHƯA KHẢO SÁT — DRAFT — CHƯA DUYỆT</t>
        </is>
      </c>
      <c r="J22" s="15" t="inlineStr">
        <is>
          <t>Danh mục khởi tạo 2026-08-25</t>
        </is>
      </c>
      <c r="K22" s="15" t="inlineStr">
        <is>
          <t>https://kdigo.org/guidelines/ckd-evaluation-and-management/</t>
        </is>
      </c>
      <c r="L22" s="15" t="inlineStr">
        <is>
          <t>CHƯA GÁN — chỉ gán khi dự án được chọn</t>
        </is>
      </c>
      <c r="M22" s="15" t="inlineStr">
        <is>
          <t>Người dùng — tự phụ trách</t>
        </is>
      </c>
      <c r="N22" s="15" t="inlineStr">
        <is>
          <t>Theo sự kiện</t>
        </is>
      </c>
      <c r="O22" s="15" t="n"/>
      <c r="P22" s="41" t="n">
        <v>46279</v>
      </c>
      <c r="Q22" s="15" t="inlineStr">
        <is>
          <t>Đang thiết lập</t>
        </is>
      </c>
      <c r="R22" s="15" t="inlineStr">
        <is>
          <t>P3</t>
        </is>
      </c>
      <c r="S22" s="15" t="inlineStr">
        <is>
          <t>BACKLOG 6/6 · DRAFT — CHƯA DUYỆT · Nguồn ở cột K chỉ là nguồn khởi đầu, chưa thẩm định cấp câu hỏi · VÒNG LẶP ĐA CHUYÊN NGÀNH 2026-08-26: rà an toàn hằng tuần + chuyên sâu tuần tự theo ngày cột P</t>
        </is>
      </c>
    </row>
    <row r="23">
      <c r="A23" s="15" t="inlineStr">
        <is>
          <t>Q-RESP-01</t>
        </is>
      </c>
      <c r="B23" s="15" t="inlineStr">
        <is>
          <t>PRJ-RESP</t>
        </is>
      </c>
      <c r="C23" s="15" t="inlineStr">
        <is>
          <t>Chẩn đoán và kiểm soát hen</t>
        </is>
      </c>
      <c r="D23" s="15" t="inlineStr">
        <is>
          <t>Người lớn và trẻ em khám ngoại trú vì triệu chứng hoặc bệnh hô hấp</t>
        </is>
      </c>
      <c r="E23" s="15" t="inlineStr">
        <is>
          <t>CHƯA XÁC LẬP — hoàn thiện PICO khi dự án được kích hoạt</t>
        </is>
      </c>
      <c r="F23" s="15" t="inlineStr">
        <is>
          <t>CHƯA XÁC LẬP — hoàn thiện PICO khi dự án được kích hoạt</t>
        </is>
      </c>
      <c r="G23" s="15" t="inlineStr">
        <is>
          <t>CHƯA XÁC LẬP — hoàn thiện PICO khi dự án được kích hoạt</t>
        </is>
      </c>
      <c r="H23" s="15" t="inlineStr">
        <is>
          <t>Khám ngoại trú; thời gian theo dõi CHƯA XÁC LẬP</t>
        </is>
      </c>
      <c r="I23" s="15" t="inlineStr">
        <is>
          <t>CHƯA KHẢO SÁT — DRAFT — CHƯA DUYỆT</t>
        </is>
      </c>
      <c r="J23" s="15" t="inlineStr">
        <is>
          <t>Danh mục khởi tạo 2026-08-25</t>
        </is>
      </c>
      <c r="K23" s="15" t="inlineStr">
        <is>
          <t>https://ginasthma.org/reports/ ; https://goldcopd.org/2026-gold-report-and-pocket-guide/</t>
        </is>
      </c>
      <c r="L23" s="15" t="inlineStr">
        <is>
          <t>CHƯA GÁN — chỉ gán khi dự án được chọn</t>
        </is>
      </c>
      <c r="M23" s="15" t="inlineStr">
        <is>
          <t>Người dùng — tự phụ trách</t>
        </is>
      </c>
      <c r="N23" s="15" t="inlineStr">
        <is>
          <t>Theo sự kiện</t>
        </is>
      </c>
      <c r="O23" s="15" t="n"/>
      <c r="P23" s="41" t="n">
        <v>46286</v>
      </c>
      <c r="Q23" s="15" t="inlineStr">
        <is>
          <t>Đang thiết lập</t>
        </is>
      </c>
      <c r="R23" s="15" t="inlineStr">
        <is>
          <t>P2</t>
        </is>
      </c>
      <c r="S23" s="15" t="inlineStr">
        <is>
          <t>BACKLOG 1/6 · DRAFT — CHƯA DUYỆT · Nguồn ở cột K chỉ là nguồn khởi đầu, chưa thẩm định cấp câu hỏi · VÒNG LẶP ĐA CHUYÊN NGÀNH 2026-08-26: rà an toàn hằng tuần + chuyên sâu tuần tự theo ngày cột P</t>
        </is>
      </c>
    </row>
    <row r="24">
      <c r="A24" s="15" t="inlineStr">
        <is>
          <t>Q-RESP-02</t>
        </is>
      </c>
      <c r="B24" s="15" t="inlineStr">
        <is>
          <t>PRJ-RESP</t>
        </is>
      </c>
      <c r="C24" s="15" t="inlineStr">
        <is>
          <t>Phát hiện COPD và chỉ định hô hấp ký</t>
        </is>
      </c>
      <c r="D24" s="15" t="inlineStr">
        <is>
          <t>Người lớn và trẻ em khám ngoại trú vì triệu chứng hoặc bệnh hô hấp</t>
        </is>
      </c>
      <c r="E24" s="15" t="inlineStr">
        <is>
          <t>CHƯA XÁC LẬP — hoàn thiện PICO khi dự án được kích hoạt</t>
        </is>
      </c>
      <c r="F24" s="15" t="inlineStr">
        <is>
          <t>CHƯA XÁC LẬP — hoàn thiện PICO khi dự án được kích hoạt</t>
        </is>
      </c>
      <c r="G24" s="15" t="inlineStr">
        <is>
          <t>CHƯA XÁC LẬP — hoàn thiện PICO khi dự án được kích hoạt</t>
        </is>
      </c>
      <c r="H24" s="15" t="inlineStr">
        <is>
          <t>Khám ngoại trú; thời gian theo dõi CHƯA XÁC LẬP</t>
        </is>
      </c>
      <c r="I24" s="15" t="inlineStr">
        <is>
          <t>CHƯA KHẢO SÁT — DRAFT — CHƯA DUYỆT</t>
        </is>
      </c>
      <c r="J24" s="15" t="inlineStr">
        <is>
          <t>Danh mục khởi tạo 2026-08-25</t>
        </is>
      </c>
      <c r="K24" s="15" t="inlineStr">
        <is>
          <t>https://ginasthma.org/reports/ ; https://goldcopd.org/2026-gold-report-and-pocket-guide/</t>
        </is>
      </c>
      <c r="L24" s="15" t="inlineStr">
        <is>
          <t>CHƯA GÁN — chỉ gán khi dự án được chọn</t>
        </is>
      </c>
      <c r="M24" s="15" t="inlineStr">
        <is>
          <t>Người dùng — tự phụ trách</t>
        </is>
      </c>
      <c r="N24" s="15" t="inlineStr">
        <is>
          <t>Theo sự kiện</t>
        </is>
      </c>
      <c r="O24" s="15" t="n"/>
      <c r="P24" s="41" t="n">
        <v>46286</v>
      </c>
      <c r="Q24" s="15" t="inlineStr">
        <is>
          <t>Đang thiết lập</t>
        </is>
      </c>
      <c r="R24" s="15" t="inlineStr">
        <is>
          <t>P2</t>
        </is>
      </c>
      <c r="S24" s="15" t="inlineStr">
        <is>
          <t>BACKLOG 2/6 · DRAFT — CHƯA DUYỆT · Nguồn ở cột K chỉ là nguồn khởi đầu, chưa thẩm định cấp câu hỏi · VÒNG LẶP ĐA CHUYÊN NGÀNH 2026-08-26: rà an toàn hằng tuần + chuyên sâu tuần tự theo ngày cột P</t>
        </is>
      </c>
    </row>
    <row r="25">
      <c r="A25" s="15" t="inlineStr">
        <is>
          <t>Q-RESP-03</t>
        </is>
      </c>
      <c r="B25" s="15" t="inlineStr">
        <is>
          <t>PRJ-RESP</t>
        </is>
      </c>
      <c r="C25" s="15" t="inlineStr">
        <is>
          <t>Kỹ thuật dụng cụ hít và tuân thủ</t>
        </is>
      </c>
      <c r="D25" s="15" t="inlineStr">
        <is>
          <t>Người lớn và trẻ em khám ngoại trú vì triệu chứng hoặc bệnh hô hấp</t>
        </is>
      </c>
      <c r="E25" s="15" t="inlineStr">
        <is>
          <t>CHƯA XÁC LẬP — hoàn thiện PICO khi dự án được kích hoạt</t>
        </is>
      </c>
      <c r="F25" s="15" t="inlineStr">
        <is>
          <t>CHƯA XÁC LẬP — hoàn thiện PICO khi dự án được kích hoạt</t>
        </is>
      </c>
      <c r="G25" s="15" t="inlineStr">
        <is>
          <t>CHƯA XÁC LẬP — hoàn thiện PICO khi dự án được kích hoạt</t>
        </is>
      </c>
      <c r="H25" s="15" t="inlineStr">
        <is>
          <t>Khám ngoại trú; thời gian theo dõi CHƯA XÁC LẬP</t>
        </is>
      </c>
      <c r="I25" s="15" t="inlineStr">
        <is>
          <t>CHƯA KHẢO SÁT — DRAFT — CHƯA DUYỆT</t>
        </is>
      </c>
      <c r="J25" s="15" t="inlineStr">
        <is>
          <t>Danh mục khởi tạo 2026-08-25</t>
        </is>
      </c>
      <c r="K25" s="15" t="inlineStr">
        <is>
          <t>https://ginasthma.org/reports/ ; https://goldcopd.org/2026-gold-report-and-pocket-guide/</t>
        </is>
      </c>
      <c r="L25" s="15" t="inlineStr">
        <is>
          <t>CHƯA GÁN — chỉ gán khi dự án được chọn</t>
        </is>
      </c>
      <c r="M25" s="15" t="inlineStr">
        <is>
          <t>Người dùng — tự phụ trách</t>
        </is>
      </c>
      <c r="N25" s="15" t="inlineStr">
        <is>
          <t>Theo sự kiện</t>
        </is>
      </c>
      <c r="O25" s="15" t="n"/>
      <c r="P25" s="41" t="n">
        <v>46286</v>
      </c>
      <c r="Q25" s="15" t="inlineStr">
        <is>
          <t>Đang thiết lập</t>
        </is>
      </c>
      <c r="R25" s="15" t="inlineStr">
        <is>
          <t>P2</t>
        </is>
      </c>
      <c r="S25" s="15" t="inlineStr">
        <is>
          <t>BACKLOG 3/6 · DRAFT — CHƯA DUYỆT · Nguồn ở cột K chỉ là nguồn khởi đầu, chưa thẩm định cấp câu hỏi · VÒNG LẶP ĐA CHUYÊN NGÀNH 2026-08-26: rà an toàn hằng tuần + chuyên sâu tuần tự theo ngày cột P</t>
        </is>
      </c>
    </row>
    <row r="26">
      <c r="A26" s="15" t="inlineStr">
        <is>
          <t>Q-RESP-04</t>
        </is>
      </c>
      <c r="B26" s="15" t="inlineStr">
        <is>
          <t>PRJ-RESP</t>
        </is>
      </c>
      <c r="C26" s="15" t="inlineStr">
        <is>
          <t>Ho mạn, khó thở và dấu hiệu báo động</t>
        </is>
      </c>
      <c r="D26" s="15" t="inlineStr">
        <is>
          <t>Người lớn và trẻ em khám ngoại trú vì triệu chứng hoặc bệnh hô hấp</t>
        </is>
      </c>
      <c r="E26" s="15" t="inlineStr">
        <is>
          <t>CHƯA XÁC LẬP — hoàn thiện PICO khi dự án được kích hoạt</t>
        </is>
      </c>
      <c r="F26" s="15" t="inlineStr">
        <is>
          <t>CHƯA XÁC LẬP — hoàn thiện PICO khi dự án được kích hoạt</t>
        </is>
      </c>
      <c r="G26" s="15" t="inlineStr">
        <is>
          <t>CHƯA XÁC LẬP — hoàn thiện PICO khi dự án được kích hoạt</t>
        </is>
      </c>
      <c r="H26" s="15" t="inlineStr">
        <is>
          <t>Khám ngoại trú; thời gian theo dõi CHƯA XÁC LẬP</t>
        </is>
      </c>
      <c r="I26" s="15" t="inlineStr">
        <is>
          <t>CHƯA KHẢO SÁT — DRAFT — CHƯA DUYỆT</t>
        </is>
      </c>
      <c r="J26" s="15" t="inlineStr">
        <is>
          <t>Danh mục khởi tạo 2026-08-25</t>
        </is>
      </c>
      <c r="K26" s="15" t="inlineStr">
        <is>
          <t>https://ginasthma.org/reports/ ; https://goldcopd.org/2026-gold-report-and-pocket-guide/</t>
        </is>
      </c>
      <c r="L26" s="15" t="inlineStr">
        <is>
          <t>CHƯA GÁN — chỉ gán khi dự án được chọn</t>
        </is>
      </c>
      <c r="M26" s="15" t="inlineStr">
        <is>
          <t>Người dùng — tự phụ trách</t>
        </is>
      </c>
      <c r="N26" s="15" t="inlineStr">
        <is>
          <t>Theo sự kiện</t>
        </is>
      </c>
      <c r="O26" s="15" t="n"/>
      <c r="P26" s="41" t="n">
        <v>46286</v>
      </c>
      <c r="Q26" s="15" t="inlineStr">
        <is>
          <t>Đang thiết lập</t>
        </is>
      </c>
      <c r="R26" s="15" t="inlineStr">
        <is>
          <t>P3</t>
        </is>
      </c>
      <c r="S26" s="15" t="inlineStr">
        <is>
          <t>BACKLOG 4/6 · DRAFT — CHƯA DUYỆT · Nguồn ở cột K chỉ là nguồn khởi đầu, chưa thẩm định cấp câu hỏi · VÒNG LẶP ĐA CHUYÊN NGÀNH 2026-08-26: rà an toàn hằng tuần + chuyên sâu tuần tự theo ngày cột P</t>
        </is>
      </c>
    </row>
    <row r="27">
      <c r="A27" s="15" t="inlineStr">
        <is>
          <t>Q-RESP-05</t>
        </is>
      </c>
      <c r="B27" s="15" t="inlineStr">
        <is>
          <t>PRJ-RESP</t>
        </is>
      </c>
      <c r="C27" s="15" t="inlineStr">
        <is>
          <t>Đợt cấp hen hoặc COPD</t>
        </is>
      </c>
      <c r="D27" s="15" t="inlineStr">
        <is>
          <t>Người lớn và trẻ em khám ngoại trú vì triệu chứng hoặc bệnh hô hấp</t>
        </is>
      </c>
      <c r="E27" s="15" t="inlineStr">
        <is>
          <t>CHƯA XÁC LẬP — hoàn thiện PICO khi dự án được kích hoạt</t>
        </is>
      </c>
      <c r="F27" s="15" t="inlineStr">
        <is>
          <t>CHƯA XÁC LẬP — hoàn thiện PICO khi dự án được kích hoạt</t>
        </is>
      </c>
      <c r="G27" s="15" t="inlineStr">
        <is>
          <t>CHƯA XÁC LẬP — hoàn thiện PICO khi dự án được kích hoạt</t>
        </is>
      </c>
      <c r="H27" s="15" t="inlineStr">
        <is>
          <t>Khám ngoại trú; thời gian theo dõi CHƯA XÁC LẬP</t>
        </is>
      </c>
      <c r="I27" s="15" t="inlineStr">
        <is>
          <t>CHƯA KHẢO SÁT — DRAFT — CHƯA DUYỆT</t>
        </is>
      </c>
      <c r="J27" s="15" t="inlineStr">
        <is>
          <t>Danh mục khởi tạo 2026-08-25</t>
        </is>
      </c>
      <c r="K27" s="15" t="inlineStr">
        <is>
          <t>https://ginasthma.org/reports/ ; https://goldcopd.org/2026-gold-report-and-pocket-guide/</t>
        </is>
      </c>
      <c r="L27" s="15" t="inlineStr">
        <is>
          <t>CHƯA GÁN — chỉ gán khi dự án được chọn</t>
        </is>
      </c>
      <c r="M27" s="15" t="inlineStr">
        <is>
          <t>Người dùng — tự phụ trách</t>
        </is>
      </c>
      <c r="N27" s="15" t="inlineStr">
        <is>
          <t>Theo sự kiện</t>
        </is>
      </c>
      <c r="O27" s="15" t="n"/>
      <c r="P27" s="41" t="n">
        <v>46286</v>
      </c>
      <c r="Q27" s="15" t="inlineStr">
        <is>
          <t>Đang thiết lập</t>
        </is>
      </c>
      <c r="R27" s="15" t="inlineStr">
        <is>
          <t>P3</t>
        </is>
      </c>
      <c r="S27" s="15" t="inlineStr">
        <is>
          <t>BACKLOG 5/6 · DRAFT — CHƯA DUYỆT · Nguồn ở cột K chỉ là nguồn khởi đầu, chưa thẩm định cấp câu hỏi · VÒNG LẶP ĐA CHUYÊN NGÀNH 2026-08-26: rà an toàn hằng tuần + chuyên sâu tuần tự theo ngày cột P</t>
        </is>
      </c>
    </row>
    <row r="28">
      <c r="A28" s="15" t="inlineStr">
        <is>
          <t>Q-RESP-06</t>
        </is>
      </c>
      <c r="B28" s="15" t="inlineStr">
        <is>
          <t>PRJ-RESP</t>
        </is>
      </c>
      <c r="C28" s="15" t="inlineStr">
        <is>
          <t>Cai thuốc lá, tiêm chủng và phục hồi chức năng hô hấp</t>
        </is>
      </c>
      <c r="D28" s="15" t="inlineStr">
        <is>
          <t>Người lớn và trẻ em khám ngoại trú vì triệu chứng hoặc bệnh hô hấp</t>
        </is>
      </c>
      <c r="E28" s="15" t="inlineStr">
        <is>
          <t>CHƯA XÁC LẬP — hoàn thiện PICO khi dự án được kích hoạt</t>
        </is>
      </c>
      <c r="F28" s="15" t="inlineStr">
        <is>
          <t>CHƯA XÁC LẬP — hoàn thiện PICO khi dự án được kích hoạt</t>
        </is>
      </c>
      <c r="G28" s="15" t="inlineStr">
        <is>
          <t>CHƯA XÁC LẬP — hoàn thiện PICO khi dự án được kích hoạt</t>
        </is>
      </c>
      <c r="H28" s="15" t="inlineStr">
        <is>
          <t>Khám ngoại trú; thời gian theo dõi CHƯA XÁC LẬP</t>
        </is>
      </c>
      <c r="I28" s="15" t="inlineStr">
        <is>
          <t>CHƯA KHẢO SÁT — DRAFT — CHƯA DUYỆT</t>
        </is>
      </c>
      <c r="J28" s="15" t="inlineStr">
        <is>
          <t>Danh mục khởi tạo 2026-08-25</t>
        </is>
      </c>
      <c r="K28" s="15" t="inlineStr">
        <is>
          <t>https://ginasthma.org/reports/ ; https://goldcopd.org/2026-gold-report-and-pocket-guide/</t>
        </is>
      </c>
      <c r="L28" s="15" t="inlineStr">
        <is>
          <t>CHƯA GÁN — chỉ gán khi dự án được chọn</t>
        </is>
      </c>
      <c r="M28" s="15" t="inlineStr">
        <is>
          <t>Người dùng — tự phụ trách</t>
        </is>
      </c>
      <c r="N28" s="15" t="inlineStr">
        <is>
          <t>Theo sự kiện</t>
        </is>
      </c>
      <c r="O28" s="15" t="n"/>
      <c r="P28" s="41" t="n">
        <v>46286</v>
      </c>
      <c r="Q28" s="15" t="inlineStr">
        <is>
          <t>Đang thiết lập</t>
        </is>
      </c>
      <c r="R28" s="15" t="inlineStr">
        <is>
          <t>P3</t>
        </is>
      </c>
      <c r="S28" s="15" t="inlineStr">
        <is>
          <t>BACKLOG 6/6 · DRAFT — CHƯA DUYỆT · Nguồn ở cột K chỉ là nguồn khởi đầu, chưa thẩm định cấp câu hỏi · VÒNG LẶP ĐA CHUYÊN NGÀNH 2026-08-26: rà an toàn hằng tuần + chuyên sâu tuần tự theo ngày cột P</t>
        </is>
      </c>
    </row>
    <row r="29">
      <c r="A29" s="15" t="inlineStr">
        <is>
          <t>Q-GIHEP-01</t>
        </is>
      </c>
      <c r="B29" s="15" t="inlineStr">
        <is>
          <t>PRJ-GIHEP</t>
        </is>
      </c>
      <c r="C29" s="15" t="inlineStr">
        <is>
          <t>GERD, khó tiêu và Helicobacter pylori</t>
        </is>
      </c>
      <c r="D29" s="15" t="inlineStr">
        <is>
          <t>Người lớn khám ngoại trú vì triệu chứng tiêu hóa hoặc bất thường gan mật</t>
        </is>
      </c>
      <c r="E29" s="15" t="inlineStr">
        <is>
          <t>CHƯA XÁC LẬP — hoàn thiện PICO khi dự án được kích hoạt</t>
        </is>
      </c>
      <c r="F29" s="15" t="inlineStr">
        <is>
          <t>CHƯA XÁC LẬP — hoàn thiện PICO khi dự án được kích hoạt</t>
        </is>
      </c>
      <c r="G29" s="15" t="inlineStr">
        <is>
          <t>CHƯA XÁC LẬP — hoàn thiện PICO khi dự án được kích hoạt</t>
        </is>
      </c>
      <c r="H29" s="15" t="inlineStr">
        <is>
          <t>Khám ngoại trú; thời gian theo dõi CHƯA XÁC LẬP</t>
        </is>
      </c>
      <c r="I29" s="15" t="inlineStr">
        <is>
          <t>CHƯA KHẢO SÁT — DRAFT — CHƯA DUYỆT</t>
        </is>
      </c>
      <c r="J29" s="15" t="inlineStr">
        <is>
          <t>Danh mục khởi tạo 2026-08-25</t>
        </is>
      </c>
      <c r="K29" s="15" t="inlineStr">
        <is>
          <t>https://gi.org/guidelines/ ; https://easl.eu/news/launching-the-easl-guidelines-app/</t>
        </is>
      </c>
      <c r="L29" s="15" t="inlineStr">
        <is>
          <t>CHƯA GÁN — chỉ gán khi dự án được chọn</t>
        </is>
      </c>
      <c r="M29" s="15" t="inlineStr">
        <is>
          <t>Người dùng — tự phụ trách</t>
        </is>
      </c>
      <c r="N29" s="15" t="inlineStr">
        <is>
          <t>Theo sự kiện</t>
        </is>
      </c>
      <c r="O29" s="15" t="n"/>
      <c r="P29" s="41" t="n">
        <v>46293</v>
      </c>
      <c r="Q29" s="15" t="inlineStr">
        <is>
          <t>Đang thiết lập</t>
        </is>
      </c>
      <c r="R29" s="15" t="inlineStr">
        <is>
          <t>P2</t>
        </is>
      </c>
      <c r="S29" s="15" t="inlineStr">
        <is>
          <t>BACKLOG 1/6 · DRAFT — CHƯA DUYỆT · Nguồn ở cột K chỉ là nguồn khởi đầu, chưa thẩm định cấp câu hỏi · VÒNG LẶP ĐA CHUYÊN NGÀNH 2026-08-26: rà an toàn hằng tuần + chuyên sâu tuần tự theo ngày cột P</t>
        </is>
      </c>
    </row>
    <row r="30">
      <c r="A30" s="15" t="inlineStr">
        <is>
          <t>Q-GIHEP-02</t>
        </is>
      </c>
      <c r="B30" s="15" t="inlineStr">
        <is>
          <t>PRJ-GIHEP</t>
        </is>
      </c>
      <c r="C30" s="15" t="inlineStr">
        <is>
          <t>Hội chứng ruột kích thích</t>
        </is>
      </c>
      <c r="D30" s="15" t="inlineStr">
        <is>
          <t>Người lớn khám ngoại trú vì triệu chứng tiêu hóa hoặc bất thường gan mật</t>
        </is>
      </c>
      <c r="E30" s="15" t="inlineStr">
        <is>
          <t>CHƯA XÁC LẬP — hoàn thiện PICO khi dự án được kích hoạt</t>
        </is>
      </c>
      <c r="F30" s="15" t="inlineStr">
        <is>
          <t>CHƯA XÁC LẬP — hoàn thiện PICO khi dự án được kích hoạt</t>
        </is>
      </c>
      <c r="G30" s="15" t="inlineStr">
        <is>
          <t>CHƯA XÁC LẬP — hoàn thiện PICO khi dự án được kích hoạt</t>
        </is>
      </c>
      <c r="H30" s="15" t="inlineStr">
        <is>
          <t>Khám ngoại trú; thời gian theo dõi CHƯA XÁC LẬP</t>
        </is>
      </c>
      <c r="I30" s="15" t="inlineStr">
        <is>
          <t>CHƯA KHẢO SÁT — DRAFT — CHƯA DUYỆT</t>
        </is>
      </c>
      <c r="J30" s="15" t="inlineStr">
        <is>
          <t>Danh mục khởi tạo 2026-08-25</t>
        </is>
      </c>
      <c r="K30" s="15" t="inlineStr">
        <is>
          <t>https://gi.org/guidelines/ ; https://easl.eu/news/launching-the-easl-guidelines-app/</t>
        </is>
      </c>
      <c r="L30" s="15" t="inlineStr">
        <is>
          <t>CHƯA GÁN — chỉ gán khi dự án được chọn</t>
        </is>
      </c>
      <c r="M30" s="15" t="inlineStr">
        <is>
          <t>Người dùng — tự phụ trách</t>
        </is>
      </c>
      <c r="N30" s="15" t="inlineStr">
        <is>
          <t>Theo sự kiện</t>
        </is>
      </c>
      <c r="O30" s="15" t="n"/>
      <c r="P30" s="41" t="n">
        <v>46293</v>
      </c>
      <c r="Q30" s="15" t="inlineStr">
        <is>
          <t>Đang thiết lập</t>
        </is>
      </c>
      <c r="R30" s="15" t="inlineStr">
        <is>
          <t>P2</t>
        </is>
      </c>
      <c r="S30" s="15" t="inlineStr">
        <is>
          <t>BACKLOG 2/6 · DRAFT — CHƯA DUYỆT · Nguồn ở cột K chỉ là nguồn khởi đầu, chưa thẩm định cấp câu hỏi · VÒNG LẶP ĐA CHUYÊN NGÀNH 2026-08-26: rà an toàn hằng tuần + chuyên sâu tuần tự theo ngày cột P</t>
        </is>
      </c>
    </row>
    <row r="31">
      <c r="A31" s="15" t="inlineStr">
        <is>
          <t>Q-GIHEP-03</t>
        </is>
      </c>
      <c r="B31" s="15" t="inlineStr">
        <is>
          <t>PRJ-GIHEP</t>
        </is>
      </c>
      <c r="C31" s="15" t="inlineStr">
        <is>
          <t>Táo bón và tiêu chảy kéo dài</t>
        </is>
      </c>
      <c r="D31" s="15" t="inlineStr">
        <is>
          <t>Người lớn khám ngoại trú vì triệu chứng tiêu hóa hoặc bất thường gan mật</t>
        </is>
      </c>
      <c r="E31" s="15" t="inlineStr">
        <is>
          <t>CHƯA XÁC LẬP — hoàn thiện PICO khi dự án được kích hoạt</t>
        </is>
      </c>
      <c r="F31" s="15" t="inlineStr">
        <is>
          <t>CHƯA XÁC LẬP — hoàn thiện PICO khi dự án được kích hoạt</t>
        </is>
      </c>
      <c r="G31" s="15" t="inlineStr">
        <is>
          <t>CHƯA XÁC LẬP — hoàn thiện PICO khi dự án được kích hoạt</t>
        </is>
      </c>
      <c r="H31" s="15" t="inlineStr">
        <is>
          <t>Khám ngoại trú; thời gian theo dõi CHƯA XÁC LẬP</t>
        </is>
      </c>
      <c r="I31" s="15" t="inlineStr">
        <is>
          <t>CHƯA KHẢO SÁT — DRAFT — CHƯA DUYỆT</t>
        </is>
      </c>
      <c r="J31" s="15" t="inlineStr">
        <is>
          <t>Danh mục khởi tạo 2026-08-25</t>
        </is>
      </c>
      <c r="K31" s="15" t="inlineStr">
        <is>
          <t>https://gi.org/guidelines/ ; https://easl.eu/news/launching-the-easl-guidelines-app/</t>
        </is>
      </c>
      <c r="L31" s="15" t="inlineStr">
        <is>
          <t>CHƯA GÁN — chỉ gán khi dự án được chọn</t>
        </is>
      </c>
      <c r="M31" s="15" t="inlineStr">
        <is>
          <t>Người dùng — tự phụ trách</t>
        </is>
      </c>
      <c r="N31" s="15" t="inlineStr">
        <is>
          <t>Theo sự kiện</t>
        </is>
      </c>
      <c r="O31" s="15" t="n"/>
      <c r="P31" s="41" t="n">
        <v>46293</v>
      </c>
      <c r="Q31" s="15" t="inlineStr">
        <is>
          <t>Đang thiết lập</t>
        </is>
      </c>
      <c r="R31" s="15" t="inlineStr">
        <is>
          <t>P2</t>
        </is>
      </c>
      <c r="S31" s="15" t="inlineStr">
        <is>
          <t>BACKLOG 3/6 · DRAFT — CHƯA DUYỆT · Nguồn ở cột K chỉ là nguồn khởi đầu, chưa thẩm định cấp câu hỏi · VÒNG LẶP ĐA CHUYÊN NGÀNH 2026-08-26: rà an toàn hằng tuần + chuyên sâu tuần tự theo ngày cột P</t>
        </is>
      </c>
    </row>
    <row r="32">
      <c r="A32" s="15" t="inlineStr">
        <is>
          <t>Q-GIHEP-04</t>
        </is>
      </c>
      <c r="B32" s="15" t="inlineStr">
        <is>
          <t>PRJ-GIHEP</t>
        </is>
      </c>
      <c r="C32" s="15" t="inlineStr">
        <is>
          <t>Bất thường men gan và MASLD</t>
        </is>
      </c>
      <c r="D32" s="15" t="inlineStr">
        <is>
          <t>Người lớn khám ngoại trú vì triệu chứng tiêu hóa hoặc bất thường gan mật</t>
        </is>
      </c>
      <c r="E32" s="15" t="inlineStr">
        <is>
          <t>CHƯA XÁC LẬP — hoàn thiện PICO khi dự án được kích hoạt</t>
        </is>
      </c>
      <c r="F32" s="15" t="inlineStr">
        <is>
          <t>CHƯA XÁC LẬP — hoàn thiện PICO khi dự án được kích hoạt</t>
        </is>
      </c>
      <c r="G32" s="15" t="inlineStr">
        <is>
          <t>CHƯA XÁC LẬP — hoàn thiện PICO khi dự án được kích hoạt</t>
        </is>
      </c>
      <c r="H32" s="15" t="inlineStr">
        <is>
          <t>Khám ngoại trú; thời gian theo dõi CHƯA XÁC LẬP</t>
        </is>
      </c>
      <c r="I32" s="15" t="inlineStr">
        <is>
          <t>CHƯA KHẢO SÁT — DRAFT — CHƯA DUYỆT</t>
        </is>
      </c>
      <c r="J32" s="15" t="inlineStr">
        <is>
          <t>Danh mục khởi tạo 2026-08-25</t>
        </is>
      </c>
      <c r="K32" s="15" t="inlineStr">
        <is>
          <t>https://gi.org/guidelines/ ; https://easl.eu/news/launching-the-easl-guidelines-app/</t>
        </is>
      </c>
      <c r="L32" s="15" t="inlineStr">
        <is>
          <t>CHƯA GÁN — chỉ gán khi dự án được chọn</t>
        </is>
      </c>
      <c r="M32" s="15" t="inlineStr">
        <is>
          <t>Người dùng — tự phụ trách</t>
        </is>
      </c>
      <c r="N32" s="15" t="inlineStr">
        <is>
          <t>Theo sự kiện</t>
        </is>
      </c>
      <c r="O32" s="15" t="n"/>
      <c r="P32" s="41" t="n">
        <v>46293</v>
      </c>
      <c r="Q32" s="15" t="inlineStr">
        <is>
          <t>Đang thiết lập</t>
        </is>
      </c>
      <c r="R32" s="15" t="inlineStr">
        <is>
          <t>P3</t>
        </is>
      </c>
      <c r="S32" s="15" t="inlineStr">
        <is>
          <t>BACKLOG 4/6 · DRAFT — CHƯA DUYỆT · Nguồn ở cột K chỉ là nguồn khởi đầu, chưa thẩm định cấp câu hỏi · VÒNG LẶP ĐA CHUYÊN NGÀNH 2026-08-26: rà an toàn hằng tuần + chuyên sâu tuần tự theo ngày cột P</t>
        </is>
      </c>
    </row>
    <row r="33">
      <c r="A33" s="15" t="inlineStr">
        <is>
          <t>Q-GIHEP-05</t>
        </is>
      </c>
      <c r="B33" s="15" t="inlineStr">
        <is>
          <t>PRJ-GIHEP</t>
        </is>
      </c>
      <c r="C33" s="15" t="inlineStr">
        <is>
          <t>Viêm gan B hoặc C mạn</t>
        </is>
      </c>
      <c r="D33" s="15" t="inlineStr">
        <is>
          <t>Người lớn khám ngoại trú vì triệu chứng tiêu hóa hoặc bất thường gan mật</t>
        </is>
      </c>
      <c r="E33" s="15" t="inlineStr">
        <is>
          <t>CHƯA XÁC LẬP — hoàn thiện PICO khi dự án được kích hoạt</t>
        </is>
      </c>
      <c r="F33" s="15" t="inlineStr">
        <is>
          <t>CHƯA XÁC LẬP — hoàn thiện PICO khi dự án được kích hoạt</t>
        </is>
      </c>
      <c r="G33" s="15" t="inlineStr">
        <is>
          <t>CHƯA XÁC LẬP — hoàn thiện PICO khi dự án được kích hoạt</t>
        </is>
      </c>
      <c r="H33" s="15" t="inlineStr">
        <is>
          <t>Khám ngoại trú; thời gian theo dõi CHƯA XÁC LẬP</t>
        </is>
      </c>
      <c r="I33" s="15" t="inlineStr">
        <is>
          <t>CHƯA KHẢO SÁT — DRAFT — CHƯA DUYỆT</t>
        </is>
      </c>
      <c r="J33" s="15" t="inlineStr">
        <is>
          <t>Danh mục khởi tạo 2026-08-25</t>
        </is>
      </c>
      <c r="K33" s="15" t="inlineStr">
        <is>
          <t>https://gi.org/guidelines/ ; https://easl.eu/news/launching-the-easl-guidelines-app/</t>
        </is>
      </c>
      <c r="L33" s="15" t="inlineStr">
        <is>
          <t>CHƯA GÁN — chỉ gán khi dự án được chọn</t>
        </is>
      </c>
      <c r="M33" s="15" t="inlineStr">
        <is>
          <t>Người dùng — tự phụ trách</t>
        </is>
      </c>
      <c r="N33" s="15" t="inlineStr">
        <is>
          <t>Theo sự kiện</t>
        </is>
      </c>
      <c r="O33" s="15" t="n"/>
      <c r="P33" s="41" t="n">
        <v>46293</v>
      </c>
      <c r="Q33" s="15" t="inlineStr">
        <is>
          <t>Đang thiết lập</t>
        </is>
      </c>
      <c r="R33" s="15" t="inlineStr">
        <is>
          <t>P3</t>
        </is>
      </c>
      <c r="S33" s="15" t="inlineStr">
        <is>
          <t>BACKLOG 5/6 · DRAFT — CHƯA DUYỆT · Nguồn ở cột K chỉ là nguồn khởi đầu, chưa thẩm định cấp câu hỏi · VÒNG LẶP ĐA CHUYÊN NGÀNH 2026-08-26: rà an toàn hằng tuần + chuyên sâu tuần tự theo ngày cột P</t>
        </is>
      </c>
    </row>
    <row r="34">
      <c r="A34" s="15" t="inlineStr">
        <is>
          <t>Q-GIHEP-06</t>
        </is>
      </c>
      <c r="B34" s="15" t="inlineStr">
        <is>
          <t>PRJ-GIHEP</t>
        </is>
      </c>
      <c r="C34" s="15" t="inlineStr">
        <is>
          <t>Sàng lọc ung thư đại trực tràng và triệu chứng báo động</t>
        </is>
      </c>
      <c r="D34" s="15" t="inlineStr">
        <is>
          <t>Người lớn khám ngoại trú vì triệu chứng tiêu hóa hoặc bất thường gan mật</t>
        </is>
      </c>
      <c r="E34" s="15" t="inlineStr">
        <is>
          <t>CHƯA XÁC LẬP — hoàn thiện PICO khi dự án được kích hoạt</t>
        </is>
      </c>
      <c r="F34" s="15" t="inlineStr">
        <is>
          <t>CHƯA XÁC LẬP — hoàn thiện PICO khi dự án được kích hoạt</t>
        </is>
      </c>
      <c r="G34" s="15" t="inlineStr">
        <is>
          <t>CHƯA XÁC LẬP — hoàn thiện PICO khi dự án được kích hoạt</t>
        </is>
      </c>
      <c r="H34" s="15" t="inlineStr">
        <is>
          <t>Khám ngoại trú; thời gian theo dõi CHƯA XÁC LẬP</t>
        </is>
      </c>
      <c r="I34" s="15" t="inlineStr">
        <is>
          <t>CHƯA KHẢO SÁT — DRAFT — CHƯA DUYỆT</t>
        </is>
      </c>
      <c r="J34" s="15" t="inlineStr">
        <is>
          <t>Danh mục khởi tạo 2026-08-25</t>
        </is>
      </c>
      <c r="K34" s="15" t="inlineStr">
        <is>
          <t>https://gi.org/guidelines/ ; https://easl.eu/news/launching-the-easl-guidelines-app/</t>
        </is>
      </c>
      <c r="L34" s="15" t="inlineStr">
        <is>
          <t>CHƯA GÁN — chỉ gán khi dự án được chọn</t>
        </is>
      </c>
      <c r="M34" s="15" t="inlineStr">
        <is>
          <t>Người dùng — tự phụ trách</t>
        </is>
      </c>
      <c r="N34" s="15" t="inlineStr">
        <is>
          <t>Theo sự kiện</t>
        </is>
      </c>
      <c r="O34" s="15" t="n"/>
      <c r="P34" s="41" t="n">
        <v>46293</v>
      </c>
      <c r="Q34" s="15" t="inlineStr">
        <is>
          <t>Đang thiết lập</t>
        </is>
      </c>
      <c r="R34" s="15" t="inlineStr">
        <is>
          <t>P3</t>
        </is>
      </c>
      <c r="S34" s="15" t="inlineStr">
        <is>
          <t>BACKLOG 6/6 · DRAFT — CHƯA DUYỆT · Nguồn ở cột K chỉ là nguồn khởi đầu, chưa thẩm định cấp câu hỏi · VÒNG LẶP ĐA CHUYÊN NGÀNH 2026-08-26: rà an toàn hằng tuần + chuyên sâu tuần tự theo ngày cột P</t>
        </is>
      </c>
    </row>
    <row r="35">
      <c r="A35" s="15" t="inlineStr">
        <is>
          <t>Q-RHEU-01</t>
        </is>
      </c>
      <c r="B35" s="15" t="inlineStr">
        <is>
          <t>PRJ-RHEU</t>
        </is>
      </c>
      <c r="C35" s="15" t="inlineStr">
        <is>
          <t>Thoái hóa khớp gối, háng và bàn tay</t>
        </is>
      </c>
      <c r="D35" s="15" t="inlineStr">
        <is>
          <t>Người lớn khám ngoại trú vì đau hoặc bệnh cơ xương khớp</t>
        </is>
      </c>
      <c r="E35" s="15" t="inlineStr">
        <is>
          <t>CHƯA XÁC LẬP — hoàn thiện PICO khi dự án được kích hoạt</t>
        </is>
      </c>
      <c r="F35" s="15" t="inlineStr">
        <is>
          <t>CHƯA XÁC LẬP — hoàn thiện PICO khi dự án được kích hoạt</t>
        </is>
      </c>
      <c r="G35" s="15" t="inlineStr">
        <is>
          <t>CHƯA XÁC LẬP — hoàn thiện PICO khi dự án được kích hoạt</t>
        </is>
      </c>
      <c r="H35" s="15" t="inlineStr">
        <is>
          <t>Khám ngoại trú; thời gian theo dõi CHƯA XÁC LẬP</t>
        </is>
      </c>
      <c r="I35" s="15" t="inlineStr">
        <is>
          <t>CHƯA KHẢO SÁT — DRAFT — CHƯA DUYỆT</t>
        </is>
      </c>
      <c r="J35" s="15" t="inlineStr">
        <is>
          <t>Danh mục khởi tạo 2026-08-25</t>
        </is>
      </c>
      <c r="K35" s="15" t="inlineStr">
        <is>
          <t>https://rheumatology.org/clinical-practice-guidelines</t>
        </is>
      </c>
      <c r="L35" s="15" t="inlineStr">
        <is>
          <t>CHƯA GÁN — chỉ gán khi dự án được chọn</t>
        </is>
      </c>
      <c r="M35" s="15" t="inlineStr">
        <is>
          <t>Người dùng — tự phụ trách</t>
        </is>
      </c>
      <c r="N35" s="15" t="inlineStr">
        <is>
          <t>Theo sự kiện</t>
        </is>
      </c>
      <c r="O35" s="15" t="n"/>
      <c r="P35" s="41" t="n">
        <v>46300</v>
      </c>
      <c r="Q35" s="15" t="inlineStr">
        <is>
          <t>Đang thiết lập</t>
        </is>
      </c>
      <c r="R35" s="15" t="inlineStr">
        <is>
          <t>P2</t>
        </is>
      </c>
      <c r="S35" s="15" t="inlineStr">
        <is>
          <t>BACKLOG 1/6 · DRAFT — CHƯA DUYỆT · Nguồn ở cột K chỉ là nguồn khởi đầu, chưa thẩm định cấp câu hỏi · VÒNG LẶP ĐA CHUYÊN NGÀNH 2026-08-26: rà an toàn hằng tuần + chuyên sâu tuần tự theo ngày cột P</t>
        </is>
      </c>
    </row>
    <row r="36">
      <c r="A36" s="15" t="inlineStr">
        <is>
          <t>Q-RHEU-02</t>
        </is>
      </c>
      <c r="B36" s="15" t="inlineStr">
        <is>
          <t>PRJ-RHEU</t>
        </is>
      </c>
      <c r="C36" s="15" t="inlineStr">
        <is>
          <t>Đau lưng và đau cổ không đặc hiệu</t>
        </is>
      </c>
      <c r="D36" s="15" t="inlineStr">
        <is>
          <t>Người lớn khám ngoại trú vì đau hoặc bệnh cơ xương khớp</t>
        </is>
      </c>
      <c r="E36" s="15" t="inlineStr">
        <is>
          <t>CHƯA XÁC LẬP — hoàn thiện PICO khi dự án được kích hoạt</t>
        </is>
      </c>
      <c r="F36" s="15" t="inlineStr">
        <is>
          <t>CHƯA XÁC LẬP — hoàn thiện PICO khi dự án được kích hoạt</t>
        </is>
      </c>
      <c r="G36" s="15" t="inlineStr">
        <is>
          <t>CHƯA XÁC LẬP — hoàn thiện PICO khi dự án được kích hoạt</t>
        </is>
      </c>
      <c r="H36" s="15" t="inlineStr">
        <is>
          <t>Khám ngoại trú; thời gian theo dõi CHƯA XÁC LẬP</t>
        </is>
      </c>
      <c r="I36" s="15" t="inlineStr">
        <is>
          <t>CHƯA KHẢO SÁT — DRAFT — CHƯA DUYỆT</t>
        </is>
      </c>
      <c r="J36" s="15" t="inlineStr">
        <is>
          <t>Danh mục khởi tạo 2026-08-25</t>
        </is>
      </c>
      <c r="K36" s="15" t="inlineStr">
        <is>
          <t>https://rheumatology.org/clinical-practice-guidelines</t>
        </is>
      </c>
      <c r="L36" s="15" t="inlineStr">
        <is>
          <t>CHƯA GÁN — chỉ gán khi dự án được chọn</t>
        </is>
      </c>
      <c r="M36" s="15" t="inlineStr">
        <is>
          <t>Người dùng — tự phụ trách</t>
        </is>
      </c>
      <c r="N36" s="15" t="inlineStr">
        <is>
          <t>Theo sự kiện</t>
        </is>
      </c>
      <c r="O36" s="15" t="n"/>
      <c r="P36" s="41" t="n">
        <v>46300</v>
      </c>
      <c r="Q36" s="15" t="inlineStr">
        <is>
          <t>Đang thiết lập</t>
        </is>
      </c>
      <c r="R36" s="15" t="inlineStr">
        <is>
          <t>P2</t>
        </is>
      </c>
      <c r="S36" s="15" t="inlineStr">
        <is>
          <t>BACKLOG 2/6 · DRAFT — CHƯA DUYỆT · Nguồn ở cột K chỉ là nguồn khởi đầu, chưa thẩm định cấp câu hỏi · VÒNG LẶP ĐA CHUYÊN NGÀNH 2026-08-26: rà an toàn hằng tuần + chuyên sâu tuần tự theo ngày cột P</t>
        </is>
      </c>
    </row>
    <row r="37">
      <c r="A37" s="15" t="inlineStr">
        <is>
          <t>Q-RHEU-03</t>
        </is>
      </c>
      <c r="B37" s="15" t="inlineStr">
        <is>
          <t>PRJ-RHEU</t>
        </is>
      </c>
      <c r="C37" s="15" t="inlineStr">
        <is>
          <t>Gout và tăng acid uric máu</t>
        </is>
      </c>
      <c r="D37" s="15" t="inlineStr">
        <is>
          <t>Người lớn khám ngoại trú vì đau hoặc bệnh cơ xương khớp</t>
        </is>
      </c>
      <c r="E37" s="15" t="inlineStr">
        <is>
          <t>CHƯA XÁC LẬP — hoàn thiện PICO khi dự án được kích hoạt</t>
        </is>
      </c>
      <c r="F37" s="15" t="inlineStr">
        <is>
          <t>CHƯA XÁC LẬP — hoàn thiện PICO khi dự án được kích hoạt</t>
        </is>
      </c>
      <c r="G37" s="15" t="inlineStr">
        <is>
          <t>CHƯA XÁC LẬP — hoàn thiện PICO khi dự án được kích hoạt</t>
        </is>
      </c>
      <c r="H37" s="15" t="inlineStr">
        <is>
          <t>Khám ngoại trú; thời gian theo dõi CHƯA XÁC LẬP</t>
        </is>
      </c>
      <c r="I37" s="15" t="inlineStr">
        <is>
          <t>CHƯA KHẢO SÁT — DRAFT — CHƯA DUYỆT</t>
        </is>
      </c>
      <c r="J37" s="15" t="inlineStr">
        <is>
          <t>Danh mục khởi tạo 2026-08-25</t>
        </is>
      </c>
      <c r="K37" s="15" t="inlineStr">
        <is>
          <t>https://rheumatology.org/clinical-practice-guidelines</t>
        </is>
      </c>
      <c r="L37" s="15" t="inlineStr">
        <is>
          <t>CHƯA GÁN — chỉ gán khi dự án được chọn</t>
        </is>
      </c>
      <c r="M37" s="15" t="inlineStr">
        <is>
          <t>Người dùng — tự phụ trách</t>
        </is>
      </c>
      <c r="N37" s="15" t="inlineStr">
        <is>
          <t>Theo sự kiện</t>
        </is>
      </c>
      <c r="O37" s="15" t="n"/>
      <c r="P37" s="41" t="n">
        <v>46300</v>
      </c>
      <c r="Q37" s="15" t="inlineStr">
        <is>
          <t>Đang thiết lập</t>
        </is>
      </c>
      <c r="R37" s="15" t="inlineStr">
        <is>
          <t>P2</t>
        </is>
      </c>
      <c r="S37" s="15" t="inlineStr">
        <is>
          <t>BACKLOG 3/6 · DRAFT — CHƯA DUYỆT · Nguồn ở cột K chỉ là nguồn khởi đầu, chưa thẩm định cấp câu hỏi · VÒNG LẶP ĐA CHUYÊN NGÀNH 2026-08-26: rà an toàn hằng tuần + chuyên sâu tuần tự theo ngày cột P</t>
        </is>
      </c>
    </row>
    <row r="38">
      <c r="A38" s="15" t="inlineStr">
        <is>
          <t>Q-RHEU-04</t>
        </is>
      </c>
      <c r="B38" s="15" t="inlineStr">
        <is>
          <t>PRJ-RHEU</t>
        </is>
      </c>
      <c r="C38" s="15" t="inlineStr">
        <is>
          <t>Loãng xương và nguy cơ gãy xương</t>
        </is>
      </c>
      <c r="D38" s="15" t="inlineStr">
        <is>
          <t>Người lớn khám ngoại trú vì đau hoặc bệnh cơ xương khớp</t>
        </is>
      </c>
      <c r="E38" s="15" t="inlineStr">
        <is>
          <t>CHƯA XÁC LẬP — hoàn thiện PICO khi dự án được kích hoạt</t>
        </is>
      </c>
      <c r="F38" s="15" t="inlineStr">
        <is>
          <t>CHƯA XÁC LẬP — hoàn thiện PICO khi dự án được kích hoạt</t>
        </is>
      </c>
      <c r="G38" s="15" t="inlineStr">
        <is>
          <t>CHƯA XÁC LẬP — hoàn thiện PICO khi dự án được kích hoạt</t>
        </is>
      </c>
      <c r="H38" s="15" t="inlineStr">
        <is>
          <t>Khám ngoại trú; thời gian theo dõi CHƯA XÁC LẬP</t>
        </is>
      </c>
      <c r="I38" s="15" t="inlineStr">
        <is>
          <t>CHƯA KHẢO SÁT — DRAFT — CHƯA DUYỆT</t>
        </is>
      </c>
      <c r="J38" s="15" t="inlineStr">
        <is>
          <t>Danh mục khởi tạo 2026-08-25</t>
        </is>
      </c>
      <c r="K38" s="15" t="inlineStr">
        <is>
          <t>https://rheumatology.org/clinical-practice-guidelines</t>
        </is>
      </c>
      <c r="L38" s="15" t="inlineStr">
        <is>
          <t>CHƯA GÁN — chỉ gán khi dự án được chọn</t>
        </is>
      </c>
      <c r="M38" s="15" t="inlineStr">
        <is>
          <t>Người dùng — tự phụ trách</t>
        </is>
      </c>
      <c r="N38" s="15" t="inlineStr">
        <is>
          <t>Theo sự kiện</t>
        </is>
      </c>
      <c r="O38" s="15" t="n"/>
      <c r="P38" s="41" t="n">
        <v>46300</v>
      </c>
      <c r="Q38" s="15" t="inlineStr">
        <is>
          <t>Đang thiết lập</t>
        </is>
      </c>
      <c r="R38" s="15" t="inlineStr">
        <is>
          <t>P3</t>
        </is>
      </c>
      <c r="S38" s="15" t="inlineStr">
        <is>
          <t>BACKLOG 4/6 · DRAFT — CHƯA DUYỆT · Nguồn ở cột K chỉ là nguồn khởi đầu, chưa thẩm định cấp câu hỏi · VÒNG LẶP ĐA CHUYÊN NGÀNH 2026-08-26: rà an toàn hằng tuần + chuyên sâu tuần tự theo ngày cột P</t>
        </is>
      </c>
    </row>
    <row r="39">
      <c r="A39" s="15" t="inlineStr">
        <is>
          <t>Q-RHEU-05</t>
        </is>
      </c>
      <c r="B39" s="15" t="inlineStr">
        <is>
          <t>PRJ-RHEU</t>
        </is>
      </c>
      <c r="C39" s="15" t="inlineStr">
        <is>
          <t>Nhận diện sớm viêm khớp dạng thấp</t>
        </is>
      </c>
      <c r="D39" s="15" t="inlineStr">
        <is>
          <t>Người lớn khám ngoại trú vì đau hoặc bệnh cơ xương khớp</t>
        </is>
      </c>
      <c r="E39" s="15" t="inlineStr">
        <is>
          <t>CHƯA XÁC LẬP — hoàn thiện PICO khi dự án được kích hoạt</t>
        </is>
      </c>
      <c r="F39" s="15" t="inlineStr">
        <is>
          <t>CHƯA XÁC LẬP — hoàn thiện PICO khi dự án được kích hoạt</t>
        </is>
      </c>
      <c r="G39" s="15" t="inlineStr">
        <is>
          <t>CHƯA XÁC LẬP — hoàn thiện PICO khi dự án được kích hoạt</t>
        </is>
      </c>
      <c r="H39" s="15" t="inlineStr">
        <is>
          <t>Khám ngoại trú; thời gian theo dõi CHƯA XÁC LẬP</t>
        </is>
      </c>
      <c r="I39" s="15" t="inlineStr">
        <is>
          <t>CHƯA KHẢO SÁT — DRAFT — CHƯA DUYỆT</t>
        </is>
      </c>
      <c r="J39" s="15" t="inlineStr">
        <is>
          <t>Danh mục khởi tạo 2026-08-25</t>
        </is>
      </c>
      <c r="K39" s="15" t="inlineStr">
        <is>
          <t>https://rheumatology.org/clinical-practice-guidelines</t>
        </is>
      </c>
      <c r="L39" s="15" t="inlineStr">
        <is>
          <t>CHƯA GÁN — chỉ gán khi dự án được chọn</t>
        </is>
      </c>
      <c r="M39" s="15" t="inlineStr">
        <is>
          <t>Người dùng — tự phụ trách</t>
        </is>
      </c>
      <c r="N39" s="15" t="inlineStr">
        <is>
          <t>Theo sự kiện</t>
        </is>
      </c>
      <c r="O39" s="15" t="n"/>
      <c r="P39" s="41" t="n">
        <v>46300</v>
      </c>
      <c r="Q39" s="15" t="inlineStr">
        <is>
          <t>Đang thiết lập</t>
        </is>
      </c>
      <c r="R39" s="15" t="inlineStr">
        <is>
          <t>P3</t>
        </is>
      </c>
      <c r="S39" s="15" t="inlineStr">
        <is>
          <t>BACKLOG 5/6 · DRAFT — CHƯA DUYỆT · Nguồn ở cột K chỉ là nguồn khởi đầu, chưa thẩm định cấp câu hỏi · VÒNG LẶP ĐA CHUYÊN NGÀNH 2026-08-26: rà an toàn hằng tuần + chuyên sâu tuần tự theo ngày cột P</t>
        </is>
      </c>
    </row>
    <row r="40">
      <c r="A40" s="15" t="inlineStr">
        <is>
          <t>Q-RHEU-06</t>
        </is>
      </c>
      <c r="B40" s="15" t="inlineStr">
        <is>
          <t>PRJ-RHEU</t>
        </is>
      </c>
      <c r="C40" s="15" t="inlineStr">
        <is>
          <t>An toàn NSAID, corticosteroid và phục hồi vận động</t>
        </is>
      </c>
      <c r="D40" s="15" t="inlineStr">
        <is>
          <t>Người lớn khám ngoại trú vì đau hoặc bệnh cơ xương khớp</t>
        </is>
      </c>
      <c r="E40" s="15" t="inlineStr">
        <is>
          <t>CHƯA XÁC LẬP — hoàn thiện PICO khi dự án được kích hoạt</t>
        </is>
      </c>
      <c r="F40" s="15" t="inlineStr">
        <is>
          <t>CHƯA XÁC LẬP — hoàn thiện PICO khi dự án được kích hoạt</t>
        </is>
      </c>
      <c r="G40" s="15" t="inlineStr">
        <is>
          <t>CHƯA XÁC LẬP — hoàn thiện PICO khi dự án được kích hoạt</t>
        </is>
      </c>
      <c r="H40" s="15" t="inlineStr">
        <is>
          <t>Khám ngoại trú; thời gian theo dõi CHƯA XÁC LẬP</t>
        </is>
      </c>
      <c r="I40" s="15" t="inlineStr">
        <is>
          <t>CHƯA KHẢO SÁT — DRAFT — CHƯA DUYỆT</t>
        </is>
      </c>
      <c r="J40" s="15" t="inlineStr">
        <is>
          <t>Danh mục khởi tạo 2026-08-25</t>
        </is>
      </c>
      <c r="K40" s="15" t="inlineStr">
        <is>
          <t>https://rheumatology.org/clinical-practice-guidelines</t>
        </is>
      </c>
      <c r="L40" s="15" t="inlineStr">
        <is>
          <t>CHƯA GÁN — chỉ gán khi dự án được chọn</t>
        </is>
      </c>
      <c r="M40" s="15" t="inlineStr">
        <is>
          <t>Người dùng — tự phụ trách</t>
        </is>
      </c>
      <c r="N40" s="15" t="inlineStr">
        <is>
          <t>Theo sự kiện</t>
        </is>
      </c>
      <c r="O40" s="15" t="n"/>
      <c r="P40" s="41" t="n">
        <v>46300</v>
      </c>
      <c r="Q40" s="15" t="inlineStr">
        <is>
          <t>Đang thiết lập</t>
        </is>
      </c>
      <c r="R40" s="15" t="inlineStr">
        <is>
          <t>P3</t>
        </is>
      </c>
      <c r="S40" s="15" t="inlineStr">
        <is>
          <t>BACKLOG 6/6 · DRAFT — CHƯA DUYỆT · Nguồn ở cột K chỉ là nguồn khởi đầu, chưa thẩm định cấp câu hỏi · VÒNG LẶP ĐA CHUYÊN NGÀNH 2026-08-26: rà an toàn hằng tuần + chuyên sâu tuần tự theo ngày cột P</t>
        </is>
      </c>
    </row>
    <row r="41">
      <c r="A41" s="15" t="inlineStr">
        <is>
          <t>Q-IDAMS-01</t>
        </is>
      </c>
      <c r="B41" s="15" t="inlineStr">
        <is>
          <t>PRJ-IDAMS</t>
        </is>
      </c>
      <c r="C41" s="15" t="inlineStr">
        <is>
          <t>Nhiễm khuẩn hô hấp trên và quyết định không dùng kháng sinh</t>
        </is>
      </c>
      <c r="D41" s="15" t="inlineStr">
        <is>
          <t>Người lớn và trẻ em khám ngoại trú vì hội chứng nhiễm trùng thường gặp</t>
        </is>
      </c>
      <c r="E41" s="15" t="inlineStr">
        <is>
          <t>CHƯA XÁC LẬP — hoàn thiện PICO khi dự án được kích hoạt</t>
        </is>
      </c>
      <c r="F41" s="15" t="inlineStr">
        <is>
          <t>CHƯA XÁC LẬP — hoàn thiện PICO khi dự án được kích hoạt</t>
        </is>
      </c>
      <c r="G41" s="15" t="inlineStr">
        <is>
          <t>CHƯA XÁC LẬP — hoàn thiện PICO khi dự án được kích hoạt</t>
        </is>
      </c>
      <c r="H41" s="15" t="inlineStr">
        <is>
          <t>Khám ngoại trú; thời gian theo dõi CHƯA XÁC LẬP</t>
        </is>
      </c>
      <c r="I41" s="15" t="inlineStr">
        <is>
          <t>CHƯA KHẢO SÁT — DRAFT — CHƯA DUYỆT</t>
        </is>
      </c>
      <c r="J41" s="15" t="inlineStr">
        <is>
          <t>Danh mục khởi tạo 2026-08-25</t>
        </is>
      </c>
      <c r="K41" s="15" t="inlineStr">
        <is>
          <t>https://www.who.int/publications/i/item/9789240062382</t>
        </is>
      </c>
      <c r="L41" s="15" t="inlineStr">
        <is>
          <t>CHƯA GÁN — chỉ gán khi dự án được chọn</t>
        </is>
      </c>
      <c r="M41" s="15" t="inlineStr">
        <is>
          <t>Người dùng — tự phụ trách</t>
        </is>
      </c>
      <c r="N41" s="15" t="inlineStr">
        <is>
          <t>Theo sự kiện</t>
        </is>
      </c>
      <c r="O41" s="15" t="n"/>
      <c r="P41" s="41" t="n">
        <v>46307</v>
      </c>
      <c r="Q41" s="15" t="inlineStr">
        <is>
          <t>Đang thiết lập</t>
        </is>
      </c>
      <c r="R41" s="15" t="inlineStr">
        <is>
          <t>P2</t>
        </is>
      </c>
      <c r="S41" s="15" t="inlineStr">
        <is>
          <t>BACKLOG 1/6 · DRAFT — CHƯA DUYỆT · Nguồn ở cột K chỉ là nguồn khởi đầu, chưa thẩm định cấp câu hỏi · VÒNG LẶP ĐA CHUYÊN NGÀNH 2026-08-26: rà an toàn hằng tuần + chuyên sâu tuần tự theo ngày cột P</t>
        </is>
      </c>
    </row>
    <row r="42">
      <c r="A42" s="15" t="inlineStr">
        <is>
          <t>Q-IDAMS-02</t>
        </is>
      </c>
      <c r="B42" s="15" t="inlineStr">
        <is>
          <t>PRJ-IDAMS</t>
        </is>
      </c>
      <c r="C42" s="15" t="inlineStr">
        <is>
          <t>Nhiễm trùng tiểu</t>
        </is>
      </c>
      <c r="D42" s="15" t="inlineStr">
        <is>
          <t>Người lớn và trẻ em khám ngoại trú vì hội chứng nhiễm trùng thường gặp</t>
        </is>
      </c>
      <c r="E42" s="15" t="inlineStr">
        <is>
          <t>CHƯA XÁC LẬP — hoàn thiện PICO khi dự án được kích hoạt</t>
        </is>
      </c>
      <c r="F42" s="15" t="inlineStr">
        <is>
          <t>CHƯA XÁC LẬP — hoàn thiện PICO khi dự án được kích hoạt</t>
        </is>
      </c>
      <c r="G42" s="15" t="inlineStr">
        <is>
          <t>CHƯA XÁC LẬP — hoàn thiện PICO khi dự án được kích hoạt</t>
        </is>
      </c>
      <c r="H42" s="15" t="inlineStr">
        <is>
          <t>Khám ngoại trú; thời gian theo dõi CHƯA XÁC LẬP</t>
        </is>
      </c>
      <c r="I42" s="15" t="inlineStr">
        <is>
          <t>CHƯA KHẢO SÁT — DRAFT — CHƯA DUYỆT</t>
        </is>
      </c>
      <c r="J42" s="15" t="inlineStr">
        <is>
          <t>Danh mục khởi tạo 2026-08-25</t>
        </is>
      </c>
      <c r="K42" s="15" t="inlineStr">
        <is>
          <t>https://www.who.int/publications/i/item/9789240062382</t>
        </is>
      </c>
      <c r="L42" s="15" t="inlineStr">
        <is>
          <t>CHƯA GÁN — chỉ gán khi dự án được chọn</t>
        </is>
      </c>
      <c r="M42" s="15" t="inlineStr">
        <is>
          <t>Người dùng — tự phụ trách</t>
        </is>
      </c>
      <c r="N42" s="15" t="inlineStr">
        <is>
          <t>Theo sự kiện</t>
        </is>
      </c>
      <c r="O42" s="15" t="n"/>
      <c r="P42" s="41" t="n">
        <v>46307</v>
      </c>
      <c r="Q42" s="15" t="inlineStr">
        <is>
          <t>Đang thiết lập</t>
        </is>
      </c>
      <c r="R42" s="15" t="inlineStr">
        <is>
          <t>P2</t>
        </is>
      </c>
      <c r="S42" s="15" t="inlineStr">
        <is>
          <t>BACKLOG 2/6 · DRAFT — CHƯA DUYỆT · Nguồn ở cột K chỉ là nguồn khởi đầu, chưa thẩm định cấp câu hỏi · VÒNG LẶP ĐA CHUYÊN NGÀNH 2026-08-26: rà an toàn hằng tuần + chuyên sâu tuần tự theo ngày cột P</t>
        </is>
      </c>
    </row>
    <row r="43">
      <c r="A43" s="15" t="inlineStr">
        <is>
          <t>Q-IDAMS-03</t>
        </is>
      </c>
      <c r="B43" s="15" t="inlineStr">
        <is>
          <t>PRJ-IDAMS</t>
        </is>
      </c>
      <c r="C43" s="15" t="inlineStr">
        <is>
          <t>Nhiễm trùng da và mô mềm</t>
        </is>
      </c>
      <c r="D43" s="15" t="inlineStr">
        <is>
          <t>Người lớn và trẻ em khám ngoại trú vì hội chứng nhiễm trùng thường gặp</t>
        </is>
      </c>
      <c r="E43" s="15" t="inlineStr">
        <is>
          <t>CHƯA XÁC LẬP — hoàn thiện PICO khi dự án được kích hoạt</t>
        </is>
      </c>
      <c r="F43" s="15" t="inlineStr">
        <is>
          <t>CHƯA XÁC LẬP — hoàn thiện PICO khi dự án được kích hoạt</t>
        </is>
      </c>
      <c r="G43" s="15" t="inlineStr">
        <is>
          <t>CHƯA XÁC LẬP — hoàn thiện PICO khi dự án được kích hoạt</t>
        </is>
      </c>
      <c r="H43" s="15" t="inlineStr">
        <is>
          <t>Khám ngoại trú; thời gian theo dõi CHƯA XÁC LẬP</t>
        </is>
      </c>
      <c r="I43" s="15" t="inlineStr">
        <is>
          <t>CHƯA KHẢO SÁT — DRAFT — CHƯA DUYỆT</t>
        </is>
      </c>
      <c r="J43" s="15" t="inlineStr">
        <is>
          <t>Danh mục khởi tạo 2026-08-25</t>
        </is>
      </c>
      <c r="K43" s="15" t="inlineStr">
        <is>
          <t>https://www.who.int/publications/i/item/9789240062382</t>
        </is>
      </c>
      <c r="L43" s="15" t="inlineStr">
        <is>
          <t>CHƯA GÁN — chỉ gán khi dự án được chọn</t>
        </is>
      </c>
      <c r="M43" s="15" t="inlineStr">
        <is>
          <t>Người dùng — tự phụ trách</t>
        </is>
      </c>
      <c r="N43" s="15" t="inlineStr">
        <is>
          <t>Theo sự kiện</t>
        </is>
      </c>
      <c r="O43" s="15" t="n"/>
      <c r="P43" s="41" t="n">
        <v>46307</v>
      </c>
      <c r="Q43" s="15" t="inlineStr">
        <is>
          <t>Đang thiết lập</t>
        </is>
      </c>
      <c r="R43" s="15" t="inlineStr">
        <is>
          <t>P2</t>
        </is>
      </c>
      <c r="S43" s="15" t="inlineStr">
        <is>
          <t>BACKLOG 3/6 · DRAFT — CHƯA DUYỆT · Nguồn ở cột K chỉ là nguồn khởi đầu, chưa thẩm định cấp câu hỏi · VÒNG LẶP ĐA CHUYÊN NGÀNH 2026-08-26: rà an toàn hằng tuần + chuyên sâu tuần tự theo ngày cột P</t>
        </is>
      </c>
    </row>
    <row r="44">
      <c r="A44" s="15" t="inlineStr">
        <is>
          <t>Q-IDAMS-04</t>
        </is>
      </c>
      <c r="B44" s="15" t="inlineStr">
        <is>
          <t>PRJ-IDAMS</t>
        </is>
      </c>
      <c r="C44" s="15" t="inlineStr">
        <is>
          <t>Tiêu chảy nhiễm trùng</t>
        </is>
      </c>
      <c r="D44" s="15" t="inlineStr">
        <is>
          <t>Người lớn và trẻ em khám ngoại trú vì hội chứng nhiễm trùng thường gặp</t>
        </is>
      </c>
      <c r="E44" s="15" t="inlineStr">
        <is>
          <t>CHƯA XÁC LẬP — hoàn thiện PICO khi dự án được kích hoạt</t>
        </is>
      </c>
      <c r="F44" s="15" t="inlineStr">
        <is>
          <t>CHƯA XÁC LẬP — hoàn thiện PICO khi dự án được kích hoạt</t>
        </is>
      </c>
      <c r="G44" s="15" t="inlineStr">
        <is>
          <t>CHƯA XÁC LẬP — hoàn thiện PICO khi dự án được kích hoạt</t>
        </is>
      </c>
      <c r="H44" s="15" t="inlineStr">
        <is>
          <t>Khám ngoại trú; thời gian theo dõi CHƯA XÁC LẬP</t>
        </is>
      </c>
      <c r="I44" s="15" t="inlineStr">
        <is>
          <t>CHƯA KHẢO SÁT — DRAFT — CHƯA DUYỆT</t>
        </is>
      </c>
      <c r="J44" s="15" t="inlineStr">
        <is>
          <t>Danh mục khởi tạo 2026-08-25</t>
        </is>
      </c>
      <c r="K44" s="15" t="inlineStr">
        <is>
          <t>https://www.who.int/publications/i/item/9789240062382</t>
        </is>
      </c>
      <c r="L44" s="15" t="inlineStr">
        <is>
          <t>CHƯA GÁN — chỉ gán khi dự án được chọn</t>
        </is>
      </c>
      <c r="M44" s="15" t="inlineStr">
        <is>
          <t>Người dùng — tự phụ trách</t>
        </is>
      </c>
      <c r="N44" s="15" t="inlineStr">
        <is>
          <t>Theo sự kiện</t>
        </is>
      </c>
      <c r="O44" s="15" t="n"/>
      <c r="P44" s="41" t="n">
        <v>46307</v>
      </c>
      <c r="Q44" s="15" t="inlineStr">
        <is>
          <t>Đang thiết lập</t>
        </is>
      </c>
      <c r="R44" s="15" t="inlineStr">
        <is>
          <t>P3</t>
        </is>
      </c>
      <c r="S44" s="15" t="inlineStr">
        <is>
          <t>BACKLOG 4/6 · DRAFT — CHƯA DUYỆT · Nguồn ở cột K chỉ là nguồn khởi đầu, chưa thẩm định cấp câu hỏi · VÒNG LẶP ĐA CHUYÊN NGÀNH 2026-08-26: rà an toàn hằng tuần + chuyên sâu tuần tự theo ngày cột P</t>
        </is>
      </c>
    </row>
    <row r="45">
      <c r="A45" s="15" t="inlineStr">
        <is>
          <t>Q-IDAMS-05</t>
        </is>
      </c>
      <c r="B45" s="15" t="inlineStr">
        <is>
          <t>PRJ-IDAMS</t>
        </is>
      </c>
      <c r="C45" s="15" t="inlineStr">
        <is>
          <t>Nhiễm trùng lây truyền qua đường tình dục</t>
        </is>
      </c>
      <c r="D45" s="15" t="inlineStr">
        <is>
          <t>Người lớn và trẻ em khám ngoại trú vì hội chứng nhiễm trùng thường gặp</t>
        </is>
      </c>
      <c r="E45" s="15" t="inlineStr">
        <is>
          <t>CHƯA XÁC LẬP — hoàn thiện PICO khi dự án được kích hoạt</t>
        </is>
      </c>
      <c r="F45" s="15" t="inlineStr">
        <is>
          <t>CHƯA XÁC LẬP — hoàn thiện PICO khi dự án được kích hoạt</t>
        </is>
      </c>
      <c r="G45" s="15" t="inlineStr">
        <is>
          <t>CHƯA XÁC LẬP — hoàn thiện PICO khi dự án được kích hoạt</t>
        </is>
      </c>
      <c r="H45" s="15" t="inlineStr">
        <is>
          <t>Khám ngoại trú; thời gian theo dõi CHƯA XÁC LẬP</t>
        </is>
      </c>
      <c r="I45" s="15" t="inlineStr">
        <is>
          <t>CHƯA KHẢO SÁT — DRAFT — CHƯA DUYỆT</t>
        </is>
      </c>
      <c r="J45" s="15" t="inlineStr">
        <is>
          <t>Danh mục khởi tạo 2026-08-25</t>
        </is>
      </c>
      <c r="K45" s="15" t="inlineStr">
        <is>
          <t>https://www.who.int/publications/i/item/9789240062382</t>
        </is>
      </c>
      <c r="L45" s="15" t="inlineStr">
        <is>
          <t>CHƯA GÁN — chỉ gán khi dự án được chọn</t>
        </is>
      </c>
      <c r="M45" s="15" t="inlineStr">
        <is>
          <t>Người dùng — tự phụ trách</t>
        </is>
      </c>
      <c r="N45" s="15" t="inlineStr">
        <is>
          <t>Theo sự kiện</t>
        </is>
      </c>
      <c r="O45" s="15" t="n"/>
      <c r="P45" s="41" t="n">
        <v>46307</v>
      </c>
      <c r="Q45" s="15" t="inlineStr">
        <is>
          <t>Đang thiết lập</t>
        </is>
      </c>
      <c r="R45" s="15" t="inlineStr">
        <is>
          <t>P3</t>
        </is>
      </c>
      <c r="S45" s="15" t="inlineStr">
        <is>
          <t>BACKLOG 5/6 · DRAFT — CHƯA DUYỆT · Nguồn ở cột K chỉ là nguồn khởi đầu, chưa thẩm định cấp câu hỏi · VÒNG LẶP ĐA CHUYÊN NGÀNH 2026-08-26: rà an toàn hằng tuần + chuyên sâu tuần tự theo ngày cột P</t>
        </is>
      </c>
    </row>
    <row r="46">
      <c r="A46" s="15" t="inlineStr">
        <is>
          <t>Q-IDAMS-06</t>
        </is>
      </c>
      <c r="B46" s="15" t="inlineStr">
        <is>
          <t>PRJ-IDAMS</t>
        </is>
      </c>
      <c r="C46" s="15" t="inlineStr">
        <is>
          <t>Sốt cấp, sốt xuất huyết hoặc lao và dấu hiệu sepsis cần chuyển cấp</t>
        </is>
      </c>
      <c r="D46" s="15" t="inlineStr">
        <is>
          <t>Người lớn và trẻ em khám ngoại trú vì hội chứng nhiễm trùng thường gặp</t>
        </is>
      </c>
      <c r="E46" s="15" t="inlineStr">
        <is>
          <t>CHƯA XÁC LẬP — hoàn thiện PICO khi dự án được kích hoạt</t>
        </is>
      </c>
      <c r="F46" s="15" t="inlineStr">
        <is>
          <t>CHƯA XÁC LẬP — hoàn thiện PICO khi dự án được kích hoạt</t>
        </is>
      </c>
      <c r="G46" s="15" t="inlineStr">
        <is>
          <t>CHƯA XÁC LẬP — hoàn thiện PICO khi dự án được kích hoạt</t>
        </is>
      </c>
      <c r="H46" s="15" t="inlineStr">
        <is>
          <t>Khám ngoại trú; thời gian theo dõi CHƯA XÁC LẬP</t>
        </is>
      </c>
      <c r="I46" s="15" t="inlineStr">
        <is>
          <t>CHƯA KHẢO SÁT — DRAFT — CHƯA DUYỆT</t>
        </is>
      </c>
      <c r="J46" s="15" t="inlineStr">
        <is>
          <t>Danh mục khởi tạo 2026-08-25</t>
        </is>
      </c>
      <c r="K46" s="15" t="inlineStr">
        <is>
          <t>https://www.who.int/publications/i/item/9789240062382</t>
        </is>
      </c>
      <c r="L46" s="15" t="inlineStr">
        <is>
          <t>CHƯA GÁN — chỉ gán khi dự án được chọn</t>
        </is>
      </c>
      <c r="M46" s="15" t="inlineStr">
        <is>
          <t>Người dùng — tự phụ trách</t>
        </is>
      </c>
      <c r="N46" s="15" t="inlineStr">
        <is>
          <t>Theo sự kiện</t>
        </is>
      </c>
      <c r="O46" s="15" t="n"/>
      <c r="P46" s="41" t="n">
        <v>46307</v>
      </c>
      <c r="Q46" s="15" t="inlineStr">
        <is>
          <t>Đang thiết lập</t>
        </is>
      </c>
      <c r="R46" s="15" t="inlineStr">
        <is>
          <t>P3</t>
        </is>
      </c>
      <c r="S46" s="15" t="inlineStr">
        <is>
          <t>BACKLOG 6/6 · DRAFT — CHƯA DUYỆT · Nguồn ở cột K chỉ là nguồn khởi đầu, chưa thẩm định cấp câu hỏi · VÒNG LẶP ĐA CHUYÊN NGÀNH 2026-08-26: rà an toàn hằng tuần + chuyên sâu tuần tự theo ngày cột P</t>
        </is>
      </c>
    </row>
    <row r="47">
      <c r="A47" s="15" t="inlineStr">
        <is>
          <t>Q-NEUR-01</t>
        </is>
      </c>
      <c r="B47" s="15" t="inlineStr">
        <is>
          <t>PRJ-NEUR</t>
        </is>
      </c>
      <c r="C47" s="15" t="inlineStr">
        <is>
          <t>Đau đầu migraine, đau đầu căng thẳng và dấu hiệu báo động</t>
        </is>
      </c>
      <c r="D47" s="15" t="inlineStr">
        <is>
          <t>Người lớn và trẻ em khám ngoại trú vì triệu chứng thần kinh</t>
        </is>
      </c>
      <c r="E47" s="15" t="inlineStr">
        <is>
          <t>CHƯA XÁC LẬP — hoàn thiện PICO khi dự án được kích hoạt</t>
        </is>
      </c>
      <c r="F47" s="15" t="inlineStr">
        <is>
          <t>CHƯA XÁC LẬP — hoàn thiện PICO khi dự án được kích hoạt</t>
        </is>
      </c>
      <c r="G47" s="15" t="inlineStr">
        <is>
          <t>CHƯA XÁC LẬP — hoàn thiện PICO khi dự án được kích hoạt</t>
        </is>
      </c>
      <c r="H47" s="15" t="inlineStr">
        <is>
          <t>Khám ngoại trú; thời gian theo dõi CHƯA XÁC LẬP</t>
        </is>
      </c>
      <c r="I47" s="15" t="inlineStr">
        <is>
          <t>CHƯA KHẢO SÁT — DRAFT — CHƯA DUYỆT</t>
        </is>
      </c>
      <c r="J47" s="15" t="inlineStr">
        <is>
          <t>Danh mục khởi tạo 2026-08-25</t>
        </is>
      </c>
      <c r="K47" s="15" t="inlineStr">
        <is>
          <t>https://www.who.int/news-room/fact-sheets/detail/headache-disorders ; https://www.who.int/news-room/fact-sheets/detail/epilepsy</t>
        </is>
      </c>
      <c r="L47" s="15" t="inlineStr">
        <is>
          <t>CHƯA GÁN — chỉ gán khi dự án được chọn</t>
        </is>
      </c>
      <c r="M47" s="15" t="inlineStr">
        <is>
          <t>Người dùng — tự phụ trách</t>
        </is>
      </c>
      <c r="N47" s="15" t="inlineStr">
        <is>
          <t>Theo sự kiện</t>
        </is>
      </c>
      <c r="O47" s="15" t="n"/>
      <c r="P47" s="41" t="n">
        <v>46314</v>
      </c>
      <c r="Q47" s="15" t="inlineStr">
        <is>
          <t>Đang thiết lập</t>
        </is>
      </c>
      <c r="R47" s="15" t="inlineStr">
        <is>
          <t>P2</t>
        </is>
      </c>
      <c r="S47" s="15" t="inlineStr">
        <is>
          <t>BACKLOG 1/6 · DRAFT — CHƯA DUYỆT · Nguồn ở cột K chỉ là nguồn khởi đầu, chưa thẩm định cấp câu hỏi · VÒNG LẶP ĐA CHUYÊN NGÀNH 2026-08-26: rà an toàn hằng tuần + chuyên sâu tuần tự theo ngày cột P</t>
        </is>
      </c>
    </row>
    <row r="48">
      <c r="A48" s="15" t="inlineStr">
        <is>
          <t>Q-NEUR-02</t>
        </is>
      </c>
      <c r="B48" s="15" t="inlineStr">
        <is>
          <t>PRJ-NEUR</t>
        </is>
      </c>
      <c r="C48" s="15" t="inlineStr">
        <is>
          <t>Chóng mặt và rối loạn thăng bằng</t>
        </is>
      </c>
      <c r="D48" s="15" t="inlineStr">
        <is>
          <t>Người lớn và trẻ em khám ngoại trú vì triệu chứng thần kinh</t>
        </is>
      </c>
      <c r="E48" s="15" t="inlineStr">
        <is>
          <t>CHƯA XÁC LẬP — hoàn thiện PICO khi dự án được kích hoạt</t>
        </is>
      </c>
      <c r="F48" s="15" t="inlineStr">
        <is>
          <t>CHƯA XÁC LẬP — hoàn thiện PICO khi dự án được kích hoạt</t>
        </is>
      </c>
      <c r="G48" s="15" t="inlineStr">
        <is>
          <t>CHƯA XÁC LẬP — hoàn thiện PICO khi dự án được kích hoạt</t>
        </is>
      </c>
      <c r="H48" s="15" t="inlineStr">
        <is>
          <t>Khám ngoại trú; thời gian theo dõi CHƯA XÁC LẬP</t>
        </is>
      </c>
      <c r="I48" s="15" t="inlineStr">
        <is>
          <t>CHƯA KHẢO SÁT — DRAFT — CHƯA DUYỆT</t>
        </is>
      </c>
      <c r="J48" s="15" t="inlineStr">
        <is>
          <t>Danh mục khởi tạo 2026-08-25</t>
        </is>
      </c>
      <c r="K48" s="15" t="inlineStr">
        <is>
          <t>https://www.who.int/news-room/fact-sheets/detail/headache-disorders ; https://www.who.int/news-room/fact-sheets/detail/epilepsy</t>
        </is>
      </c>
      <c r="L48" s="15" t="inlineStr">
        <is>
          <t>CHƯA GÁN — chỉ gán khi dự án được chọn</t>
        </is>
      </c>
      <c r="M48" s="15" t="inlineStr">
        <is>
          <t>Người dùng — tự phụ trách</t>
        </is>
      </c>
      <c r="N48" s="15" t="inlineStr">
        <is>
          <t>Theo sự kiện</t>
        </is>
      </c>
      <c r="O48" s="15" t="n"/>
      <c r="P48" s="41" t="n">
        <v>46314</v>
      </c>
      <c r="Q48" s="15" t="inlineStr">
        <is>
          <t>Đang thiết lập</t>
        </is>
      </c>
      <c r="R48" s="15" t="inlineStr">
        <is>
          <t>P2</t>
        </is>
      </c>
      <c r="S48" s="15" t="inlineStr">
        <is>
          <t>BACKLOG 2/6 · DRAFT — CHƯA DUYỆT · Nguồn ở cột K chỉ là nguồn khởi đầu, chưa thẩm định cấp câu hỏi · VÒNG LẶP ĐA CHUYÊN NGÀNH 2026-08-26: rà an toàn hằng tuần + chuyên sâu tuần tự theo ngày cột P</t>
        </is>
      </c>
    </row>
    <row r="49">
      <c r="A49" s="15" t="inlineStr">
        <is>
          <t>Q-NEUR-03</t>
        </is>
      </c>
      <c r="B49" s="15" t="inlineStr">
        <is>
          <t>PRJ-NEUR</t>
        </is>
      </c>
      <c r="C49" s="15" t="inlineStr">
        <is>
          <t>Nhận diện TIA hoặc đột quỵ và theo dõi sau đột quỵ</t>
        </is>
      </c>
      <c r="D49" s="15" t="inlineStr">
        <is>
          <t>Người lớn và trẻ em khám ngoại trú vì triệu chứng thần kinh</t>
        </is>
      </c>
      <c r="E49" s="15" t="inlineStr">
        <is>
          <t>CHƯA XÁC LẬP — hoàn thiện PICO khi dự án được kích hoạt</t>
        </is>
      </c>
      <c r="F49" s="15" t="inlineStr">
        <is>
          <t>CHƯA XÁC LẬP — hoàn thiện PICO khi dự án được kích hoạt</t>
        </is>
      </c>
      <c r="G49" s="15" t="inlineStr">
        <is>
          <t>CHƯA XÁC LẬP — hoàn thiện PICO khi dự án được kích hoạt</t>
        </is>
      </c>
      <c r="H49" s="15" t="inlineStr">
        <is>
          <t>Khám ngoại trú; thời gian theo dõi CHƯA XÁC LẬP</t>
        </is>
      </c>
      <c r="I49" s="15" t="inlineStr">
        <is>
          <t>CHƯA KHẢO SÁT — DRAFT — CHƯA DUYỆT</t>
        </is>
      </c>
      <c r="J49" s="15" t="inlineStr">
        <is>
          <t>Danh mục khởi tạo 2026-08-25</t>
        </is>
      </c>
      <c r="K49" s="15" t="inlineStr">
        <is>
          <t>https://www.who.int/news-room/fact-sheets/detail/headache-disorders ; https://www.who.int/news-room/fact-sheets/detail/epilepsy</t>
        </is>
      </c>
      <c r="L49" s="15" t="inlineStr">
        <is>
          <t>CHƯA GÁN — chỉ gán khi dự án được chọn</t>
        </is>
      </c>
      <c r="M49" s="15" t="inlineStr">
        <is>
          <t>Người dùng — tự phụ trách</t>
        </is>
      </c>
      <c r="N49" s="15" t="inlineStr">
        <is>
          <t>Theo sự kiện</t>
        </is>
      </c>
      <c r="O49" s="15" t="n"/>
      <c r="P49" s="41" t="n">
        <v>46314</v>
      </c>
      <c r="Q49" s="15" t="inlineStr">
        <is>
          <t>Đang thiết lập</t>
        </is>
      </c>
      <c r="R49" s="15" t="inlineStr">
        <is>
          <t>P2</t>
        </is>
      </c>
      <c r="S49" s="15" t="inlineStr">
        <is>
          <t>BACKLOG 3/6 · DRAFT — CHƯA DUYỆT · Nguồn ở cột K chỉ là nguồn khởi đầu, chưa thẩm định cấp câu hỏi · VÒNG LẶP ĐA CHUYÊN NGÀNH 2026-08-26: rà an toàn hằng tuần + chuyên sâu tuần tự theo ngày cột P</t>
        </is>
      </c>
    </row>
    <row r="50">
      <c r="A50" s="15" t="inlineStr">
        <is>
          <t>Q-NEUR-04</t>
        </is>
      </c>
      <c r="B50" s="15" t="inlineStr">
        <is>
          <t>PRJ-NEUR</t>
        </is>
      </c>
      <c r="C50" s="15" t="inlineStr">
        <is>
          <t>Động kinh ngoại trú</t>
        </is>
      </c>
      <c r="D50" s="15" t="inlineStr">
        <is>
          <t>Người lớn và trẻ em khám ngoại trú vì triệu chứng thần kinh</t>
        </is>
      </c>
      <c r="E50" s="15" t="inlineStr">
        <is>
          <t>CHƯA XÁC LẬP — hoàn thiện PICO khi dự án được kích hoạt</t>
        </is>
      </c>
      <c r="F50" s="15" t="inlineStr">
        <is>
          <t>CHƯA XÁC LẬP — hoàn thiện PICO khi dự án được kích hoạt</t>
        </is>
      </c>
      <c r="G50" s="15" t="inlineStr">
        <is>
          <t>CHƯA XÁC LẬP — hoàn thiện PICO khi dự án được kích hoạt</t>
        </is>
      </c>
      <c r="H50" s="15" t="inlineStr">
        <is>
          <t>Khám ngoại trú; thời gian theo dõi CHƯA XÁC LẬP</t>
        </is>
      </c>
      <c r="I50" s="15" t="inlineStr">
        <is>
          <t>CHƯA KHẢO SÁT — DRAFT — CHƯA DUYỆT</t>
        </is>
      </c>
      <c r="J50" s="15" t="inlineStr">
        <is>
          <t>Danh mục khởi tạo 2026-08-25</t>
        </is>
      </c>
      <c r="K50" s="15" t="inlineStr">
        <is>
          <t>https://www.who.int/news-room/fact-sheets/detail/headache-disorders ; https://www.who.int/news-room/fact-sheets/detail/epilepsy</t>
        </is>
      </c>
      <c r="L50" s="15" t="inlineStr">
        <is>
          <t>CHƯA GÁN — chỉ gán khi dự án được chọn</t>
        </is>
      </c>
      <c r="M50" s="15" t="inlineStr">
        <is>
          <t>Người dùng — tự phụ trách</t>
        </is>
      </c>
      <c r="N50" s="15" t="inlineStr">
        <is>
          <t>Theo sự kiện</t>
        </is>
      </c>
      <c r="O50" s="15" t="n"/>
      <c r="P50" s="41" t="n">
        <v>46314</v>
      </c>
      <c r="Q50" s="15" t="inlineStr">
        <is>
          <t>Đang thiết lập</t>
        </is>
      </c>
      <c r="R50" s="15" t="inlineStr">
        <is>
          <t>P3</t>
        </is>
      </c>
      <c r="S50" s="15" t="inlineStr">
        <is>
          <t>BACKLOG 4/6 · DRAFT — CHƯA DUYỆT · Nguồn ở cột K chỉ là nguồn khởi đầu, chưa thẩm định cấp câu hỏi · VÒNG LẶP ĐA CHUYÊN NGÀNH 2026-08-26: rà an toàn hằng tuần + chuyên sâu tuần tự theo ngày cột P</t>
        </is>
      </c>
    </row>
    <row r="51">
      <c r="A51" s="15" t="inlineStr">
        <is>
          <t>Q-NEUR-05</t>
        </is>
      </c>
      <c r="B51" s="15" t="inlineStr">
        <is>
          <t>PRJ-NEUR</t>
        </is>
      </c>
      <c r="C51" s="15" t="inlineStr">
        <is>
          <t>Bệnh lý thần kinh ngoại biên và đau rễ</t>
        </is>
      </c>
      <c r="D51" s="15" t="inlineStr">
        <is>
          <t>Người lớn và trẻ em khám ngoại trú vì triệu chứng thần kinh</t>
        </is>
      </c>
      <c r="E51" s="15" t="inlineStr">
        <is>
          <t>CHƯA XÁC LẬP — hoàn thiện PICO khi dự án được kích hoạt</t>
        </is>
      </c>
      <c r="F51" s="15" t="inlineStr">
        <is>
          <t>CHƯA XÁC LẬP — hoàn thiện PICO khi dự án được kích hoạt</t>
        </is>
      </c>
      <c r="G51" s="15" t="inlineStr">
        <is>
          <t>CHƯA XÁC LẬP — hoàn thiện PICO khi dự án được kích hoạt</t>
        </is>
      </c>
      <c r="H51" s="15" t="inlineStr">
        <is>
          <t>Khám ngoại trú; thời gian theo dõi CHƯA XÁC LẬP</t>
        </is>
      </c>
      <c r="I51" s="15" t="inlineStr">
        <is>
          <t>CHƯA KHẢO SÁT — DRAFT — CHƯA DUYỆT</t>
        </is>
      </c>
      <c r="J51" s="15" t="inlineStr">
        <is>
          <t>Danh mục khởi tạo 2026-08-25</t>
        </is>
      </c>
      <c r="K51" s="15" t="inlineStr">
        <is>
          <t>https://www.who.int/news-room/fact-sheets/detail/headache-disorders ; https://www.who.int/news-room/fact-sheets/detail/epilepsy</t>
        </is>
      </c>
      <c r="L51" s="15" t="inlineStr">
        <is>
          <t>CHƯA GÁN — chỉ gán khi dự án được chọn</t>
        </is>
      </c>
      <c r="M51" s="15" t="inlineStr">
        <is>
          <t>Người dùng — tự phụ trách</t>
        </is>
      </c>
      <c r="N51" s="15" t="inlineStr">
        <is>
          <t>Theo sự kiện</t>
        </is>
      </c>
      <c r="O51" s="15" t="n"/>
      <c r="P51" s="41" t="n">
        <v>46314</v>
      </c>
      <c r="Q51" s="15" t="inlineStr">
        <is>
          <t>Đang thiết lập</t>
        </is>
      </c>
      <c r="R51" s="15" t="inlineStr">
        <is>
          <t>P3</t>
        </is>
      </c>
      <c r="S51" s="15" t="inlineStr">
        <is>
          <t>BACKLOG 5/6 · DRAFT — CHƯA DUYỆT · Nguồn ở cột K chỉ là nguồn khởi đầu, chưa thẩm định cấp câu hỏi · VÒNG LẶP ĐA CHUYÊN NGÀNH 2026-08-26: rà an toàn hằng tuần + chuyên sâu tuần tự theo ngày cột P</t>
        </is>
      </c>
    </row>
    <row r="52">
      <c r="A52" s="15" t="inlineStr">
        <is>
          <t>Q-NEUR-06</t>
        </is>
      </c>
      <c r="B52" s="15" t="inlineStr">
        <is>
          <t>PRJ-NEUR</t>
        </is>
      </c>
      <c r="C52" s="15" t="inlineStr">
        <is>
          <t>Suy giảm nhận thức và sa sút trí tuệ</t>
        </is>
      </c>
      <c r="D52" s="15" t="inlineStr">
        <is>
          <t>Người lớn và trẻ em khám ngoại trú vì triệu chứng thần kinh</t>
        </is>
      </c>
      <c r="E52" s="15" t="inlineStr">
        <is>
          <t>CHƯA XÁC LẬP — hoàn thiện PICO khi dự án được kích hoạt</t>
        </is>
      </c>
      <c r="F52" s="15" t="inlineStr">
        <is>
          <t>CHƯA XÁC LẬP — hoàn thiện PICO khi dự án được kích hoạt</t>
        </is>
      </c>
      <c r="G52" s="15" t="inlineStr">
        <is>
          <t>CHƯA XÁC LẬP — hoàn thiện PICO khi dự án được kích hoạt</t>
        </is>
      </c>
      <c r="H52" s="15" t="inlineStr">
        <is>
          <t>Khám ngoại trú; thời gian theo dõi CHƯA XÁC LẬP</t>
        </is>
      </c>
      <c r="I52" s="15" t="inlineStr">
        <is>
          <t>CHƯA KHẢO SÁT — DRAFT — CHƯA DUYỆT</t>
        </is>
      </c>
      <c r="J52" s="15" t="inlineStr">
        <is>
          <t>Danh mục khởi tạo 2026-08-25</t>
        </is>
      </c>
      <c r="K52" s="15" t="inlineStr">
        <is>
          <t>https://www.who.int/news-room/fact-sheets/detail/headache-disorders ; https://www.who.int/news-room/fact-sheets/detail/epilepsy</t>
        </is>
      </c>
      <c r="L52" s="15" t="inlineStr">
        <is>
          <t>CHƯA GÁN — chỉ gán khi dự án được chọn</t>
        </is>
      </c>
      <c r="M52" s="15" t="inlineStr">
        <is>
          <t>Người dùng — tự phụ trách</t>
        </is>
      </c>
      <c r="N52" s="15" t="inlineStr">
        <is>
          <t>Theo sự kiện</t>
        </is>
      </c>
      <c r="O52" s="15" t="n"/>
      <c r="P52" s="41" t="n">
        <v>46314</v>
      </c>
      <c r="Q52" s="15" t="inlineStr">
        <is>
          <t>Đang thiết lập</t>
        </is>
      </c>
      <c r="R52" s="15" t="inlineStr">
        <is>
          <t>P3</t>
        </is>
      </c>
      <c r="S52" s="15" t="inlineStr">
        <is>
          <t>BACKLOG 6/6 · DRAFT — CHƯA DUYỆT · Nguồn ở cột K chỉ là nguồn khởi đầu, chưa thẩm định cấp câu hỏi · VÒNG LẶP ĐA CHUYÊN NGÀNH 2026-08-26: rà an toàn hằng tuần + chuyên sâu tuần tự theo ngày cột P</t>
        </is>
      </c>
    </row>
    <row r="53">
      <c r="A53" s="15" t="inlineStr">
        <is>
          <t>Q-PSYC-01</t>
        </is>
      </c>
      <c r="B53" s="15" t="inlineStr">
        <is>
          <t>PRJ-PSYC</t>
        </is>
      </c>
      <c r="C53" s="15" t="inlineStr">
        <is>
          <t>Trầm cảm và nguy cơ tự sát</t>
        </is>
      </c>
      <c r="D53" s="15" t="inlineStr">
        <is>
          <t>Người lớn và vị thành niên khám ngoại trú vì vấn đề sức khỏe tâm thần</t>
        </is>
      </c>
      <c r="E53" s="15" t="inlineStr">
        <is>
          <t>CHƯA XÁC LẬP — hoàn thiện PICO khi dự án được kích hoạt</t>
        </is>
      </c>
      <c r="F53" s="15" t="inlineStr">
        <is>
          <t>CHƯA XÁC LẬP — hoàn thiện PICO khi dự án được kích hoạt</t>
        </is>
      </c>
      <c r="G53" s="15" t="inlineStr">
        <is>
          <t>CHƯA XÁC LẬP — hoàn thiện PICO khi dự án được kích hoạt</t>
        </is>
      </c>
      <c r="H53" s="15" t="inlineStr">
        <is>
          <t>Khám ngoại trú; thời gian theo dõi CHƯA XÁC LẬP</t>
        </is>
      </c>
      <c r="I53" s="15" t="inlineStr">
        <is>
          <t>CHƯA KHẢO SÁT — DRAFT — CHƯA DUYỆT</t>
        </is>
      </c>
      <c r="J53" s="15" t="inlineStr">
        <is>
          <t>Danh mục khởi tạo 2026-08-25</t>
        </is>
      </c>
      <c r="K53" s="15" t="inlineStr">
        <is>
          <t>https://www.who.int/publications/b/70678</t>
        </is>
      </c>
      <c r="L53" s="15" t="inlineStr">
        <is>
          <t>CHƯA GÁN — chỉ gán khi dự án được chọn</t>
        </is>
      </c>
      <c r="M53" s="15" t="inlineStr">
        <is>
          <t>Người dùng — tự phụ trách</t>
        </is>
      </c>
      <c r="N53" s="15" t="inlineStr">
        <is>
          <t>Theo sự kiện</t>
        </is>
      </c>
      <c r="O53" s="15" t="n"/>
      <c r="P53" s="41" t="n">
        <v>46321</v>
      </c>
      <c r="Q53" s="15" t="inlineStr">
        <is>
          <t>Đang thiết lập</t>
        </is>
      </c>
      <c r="R53" s="15" t="inlineStr">
        <is>
          <t>P2</t>
        </is>
      </c>
      <c r="S53" s="15" t="inlineStr">
        <is>
          <t>BACKLOG 1/6 · DRAFT — CHƯA DUYỆT · Nguồn ở cột K chỉ là nguồn khởi đầu, chưa thẩm định cấp câu hỏi · VÒNG LẶP ĐA CHUYÊN NGÀNH 2026-08-26: rà an toàn hằng tuần + chuyên sâu tuần tự theo ngày cột P</t>
        </is>
      </c>
    </row>
    <row r="54">
      <c r="A54" s="15" t="inlineStr">
        <is>
          <t>Q-PSYC-02</t>
        </is>
      </c>
      <c r="B54" s="15" t="inlineStr">
        <is>
          <t>PRJ-PSYC</t>
        </is>
      </c>
      <c r="C54" s="15" t="inlineStr">
        <is>
          <t>Lo âu lan tỏa và cơn hoảng sợ</t>
        </is>
      </c>
      <c r="D54" s="15" t="inlineStr">
        <is>
          <t>Người lớn và vị thành niên khám ngoại trú vì vấn đề sức khỏe tâm thần</t>
        </is>
      </c>
      <c r="E54" s="15" t="inlineStr">
        <is>
          <t>CHƯA XÁC LẬP — hoàn thiện PICO khi dự án được kích hoạt</t>
        </is>
      </c>
      <c r="F54" s="15" t="inlineStr">
        <is>
          <t>CHƯA XÁC LẬP — hoàn thiện PICO khi dự án được kích hoạt</t>
        </is>
      </c>
      <c r="G54" s="15" t="inlineStr">
        <is>
          <t>CHƯA XÁC LẬP — hoàn thiện PICO khi dự án được kích hoạt</t>
        </is>
      </c>
      <c r="H54" s="15" t="inlineStr">
        <is>
          <t>Khám ngoại trú; thời gian theo dõi CHƯA XÁC LẬP</t>
        </is>
      </c>
      <c r="I54" s="15" t="inlineStr">
        <is>
          <t>CHƯA KHẢO SÁT — DRAFT — CHƯA DUYỆT</t>
        </is>
      </c>
      <c r="J54" s="15" t="inlineStr">
        <is>
          <t>Danh mục khởi tạo 2026-08-25</t>
        </is>
      </c>
      <c r="K54" s="15" t="inlineStr">
        <is>
          <t>https://www.who.int/publications/b/70678</t>
        </is>
      </c>
      <c r="L54" s="15" t="inlineStr">
        <is>
          <t>CHƯA GÁN — chỉ gán khi dự án được chọn</t>
        </is>
      </c>
      <c r="M54" s="15" t="inlineStr">
        <is>
          <t>Người dùng — tự phụ trách</t>
        </is>
      </c>
      <c r="N54" s="15" t="inlineStr">
        <is>
          <t>Theo sự kiện</t>
        </is>
      </c>
      <c r="O54" s="15" t="n"/>
      <c r="P54" s="41" t="n">
        <v>46321</v>
      </c>
      <c r="Q54" s="15" t="inlineStr">
        <is>
          <t>Đang thiết lập</t>
        </is>
      </c>
      <c r="R54" s="15" t="inlineStr">
        <is>
          <t>P2</t>
        </is>
      </c>
      <c r="S54" s="15" t="inlineStr">
        <is>
          <t>BACKLOG 2/6 · DRAFT — CHƯA DUYỆT · Nguồn ở cột K chỉ là nguồn khởi đầu, chưa thẩm định cấp câu hỏi · VÒNG LẶP ĐA CHUYÊN NGÀNH 2026-08-26: rà an toàn hằng tuần + chuyên sâu tuần tự theo ngày cột P</t>
        </is>
      </c>
    </row>
    <row r="55">
      <c r="A55" s="15" t="inlineStr">
        <is>
          <t>Q-PSYC-03</t>
        </is>
      </c>
      <c r="B55" s="15" t="inlineStr">
        <is>
          <t>PRJ-PSYC</t>
        </is>
      </c>
      <c r="C55" s="15" t="inlineStr">
        <is>
          <t>Mất ngủ</t>
        </is>
      </c>
      <c r="D55" s="15" t="inlineStr">
        <is>
          <t>Người lớn và vị thành niên khám ngoại trú vì vấn đề sức khỏe tâm thần</t>
        </is>
      </c>
      <c r="E55" s="15" t="inlineStr">
        <is>
          <t>CHƯA XÁC LẬP — hoàn thiện PICO khi dự án được kích hoạt</t>
        </is>
      </c>
      <c r="F55" s="15" t="inlineStr">
        <is>
          <t>CHƯA XÁC LẬP — hoàn thiện PICO khi dự án được kích hoạt</t>
        </is>
      </c>
      <c r="G55" s="15" t="inlineStr">
        <is>
          <t>CHƯA XÁC LẬP — hoàn thiện PICO khi dự án được kích hoạt</t>
        </is>
      </c>
      <c r="H55" s="15" t="inlineStr">
        <is>
          <t>Khám ngoại trú; thời gian theo dõi CHƯA XÁC LẬP</t>
        </is>
      </c>
      <c r="I55" s="15" t="inlineStr">
        <is>
          <t>CHƯA KHẢO SÁT — DRAFT — CHƯA DUYỆT</t>
        </is>
      </c>
      <c r="J55" s="15" t="inlineStr">
        <is>
          <t>Danh mục khởi tạo 2026-08-25</t>
        </is>
      </c>
      <c r="K55" s="15" t="inlineStr">
        <is>
          <t>https://www.who.int/publications/b/70678</t>
        </is>
      </c>
      <c r="L55" s="15" t="inlineStr">
        <is>
          <t>CHƯA GÁN — chỉ gán khi dự án được chọn</t>
        </is>
      </c>
      <c r="M55" s="15" t="inlineStr">
        <is>
          <t>Người dùng — tự phụ trách</t>
        </is>
      </c>
      <c r="N55" s="15" t="inlineStr">
        <is>
          <t>Theo sự kiện</t>
        </is>
      </c>
      <c r="O55" s="15" t="n"/>
      <c r="P55" s="41" t="n">
        <v>46321</v>
      </c>
      <c r="Q55" s="15" t="inlineStr">
        <is>
          <t>Đang thiết lập</t>
        </is>
      </c>
      <c r="R55" s="15" t="inlineStr">
        <is>
          <t>P2</t>
        </is>
      </c>
      <c r="S55" s="15" t="inlineStr">
        <is>
          <t>BACKLOG 3/6 · DRAFT — CHƯA DUYỆT · Nguồn ở cột K chỉ là nguồn khởi đầu, chưa thẩm định cấp câu hỏi · VÒNG LẶP ĐA CHUYÊN NGÀNH 2026-08-26: rà an toàn hằng tuần + chuyên sâu tuần tự theo ngày cột P</t>
        </is>
      </c>
    </row>
    <row r="56">
      <c r="A56" s="15" t="inlineStr">
        <is>
          <t>Q-PSYC-04</t>
        </is>
      </c>
      <c r="B56" s="15" t="inlineStr">
        <is>
          <t>PRJ-PSYC</t>
        </is>
      </c>
      <c r="C56" s="15" t="inlineStr">
        <is>
          <t>Sử dụng rượu, thuốc lá và chất gây nghiện</t>
        </is>
      </c>
      <c r="D56" s="15" t="inlineStr">
        <is>
          <t>Người lớn và vị thành niên khám ngoại trú vì vấn đề sức khỏe tâm thần</t>
        </is>
      </c>
      <c r="E56" s="15" t="inlineStr">
        <is>
          <t>CHƯA XÁC LẬP — hoàn thiện PICO khi dự án được kích hoạt</t>
        </is>
      </c>
      <c r="F56" s="15" t="inlineStr">
        <is>
          <t>CHƯA XÁC LẬP — hoàn thiện PICO khi dự án được kích hoạt</t>
        </is>
      </c>
      <c r="G56" s="15" t="inlineStr">
        <is>
          <t>CHƯA XÁC LẬP — hoàn thiện PICO khi dự án được kích hoạt</t>
        </is>
      </c>
      <c r="H56" s="15" t="inlineStr">
        <is>
          <t>Khám ngoại trú; thời gian theo dõi CHƯA XÁC LẬP</t>
        </is>
      </c>
      <c r="I56" s="15" t="inlineStr">
        <is>
          <t>CHƯA KHẢO SÁT — DRAFT — CHƯA DUYỆT</t>
        </is>
      </c>
      <c r="J56" s="15" t="inlineStr">
        <is>
          <t>Danh mục khởi tạo 2026-08-25</t>
        </is>
      </c>
      <c r="K56" s="15" t="inlineStr">
        <is>
          <t>https://www.who.int/publications/b/70678</t>
        </is>
      </c>
      <c r="L56" s="15" t="inlineStr">
        <is>
          <t>CHƯA GÁN — chỉ gán khi dự án được chọn</t>
        </is>
      </c>
      <c r="M56" s="15" t="inlineStr">
        <is>
          <t>Người dùng — tự phụ trách</t>
        </is>
      </c>
      <c r="N56" s="15" t="inlineStr">
        <is>
          <t>Theo sự kiện</t>
        </is>
      </c>
      <c r="O56" s="15" t="n"/>
      <c r="P56" s="41" t="n">
        <v>46321</v>
      </c>
      <c r="Q56" s="15" t="inlineStr">
        <is>
          <t>Đang thiết lập</t>
        </is>
      </c>
      <c r="R56" s="15" t="inlineStr">
        <is>
          <t>P3</t>
        </is>
      </c>
      <c r="S56" s="15" t="inlineStr">
        <is>
          <t>BACKLOG 4/6 · DRAFT — CHƯA DUYỆT · Nguồn ở cột K chỉ là nguồn khởi đầu, chưa thẩm định cấp câu hỏi · VÒNG LẶP ĐA CHUYÊN NGÀNH 2026-08-26: rà an toàn hằng tuần + chuyên sâu tuần tự theo ngày cột P</t>
        </is>
      </c>
    </row>
    <row r="57">
      <c r="A57" s="15" t="inlineStr">
        <is>
          <t>Q-PSYC-05</t>
        </is>
      </c>
      <c r="B57" s="15" t="inlineStr">
        <is>
          <t>PRJ-PSYC</t>
        </is>
      </c>
      <c r="C57" s="15" t="inlineStr">
        <is>
          <t>Rối loạn triệu chứng cơ thể, stress và kiệt sức</t>
        </is>
      </c>
      <c r="D57" s="15" t="inlineStr">
        <is>
          <t>Người lớn và vị thành niên khám ngoại trú vì vấn đề sức khỏe tâm thần</t>
        </is>
      </c>
      <c r="E57" s="15" t="inlineStr">
        <is>
          <t>CHƯA XÁC LẬP — hoàn thiện PICO khi dự án được kích hoạt</t>
        </is>
      </c>
      <c r="F57" s="15" t="inlineStr">
        <is>
          <t>CHƯA XÁC LẬP — hoàn thiện PICO khi dự án được kích hoạt</t>
        </is>
      </c>
      <c r="G57" s="15" t="inlineStr">
        <is>
          <t>CHƯA XÁC LẬP — hoàn thiện PICO khi dự án được kích hoạt</t>
        </is>
      </c>
      <c r="H57" s="15" t="inlineStr">
        <is>
          <t>Khám ngoại trú; thời gian theo dõi CHƯA XÁC LẬP</t>
        </is>
      </c>
      <c r="I57" s="15" t="inlineStr">
        <is>
          <t>CHƯA KHẢO SÁT — DRAFT — CHƯA DUYỆT</t>
        </is>
      </c>
      <c r="J57" s="15" t="inlineStr">
        <is>
          <t>Danh mục khởi tạo 2026-08-25</t>
        </is>
      </c>
      <c r="K57" s="15" t="inlineStr">
        <is>
          <t>https://www.who.int/publications/b/70678</t>
        </is>
      </c>
      <c r="L57" s="15" t="inlineStr">
        <is>
          <t>CHƯA GÁN — chỉ gán khi dự án được chọn</t>
        </is>
      </c>
      <c r="M57" s="15" t="inlineStr">
        <is>
          <t>Người dùng — tự phụ trách</t>
        </is>
      </c>
      <c r="N57" s="15" t="inlineStr">
        <is>
          <t>Theo sự kiện</t>
        </is>
      </c>
      <c r="O57" s="15" t="n"/>
      <c r="P57" s="41" t="n">
        <v>46321</v>
      </c>
      <c r="Q57" s="15" t="inlineStr">
        <is>
          <t>Đang thiết lập</t>
        </is>
      </c>
      <c r="R57" s="15" t="inlineStr">
        <is>
          <t>P3</t>
        </is>
      </c>
      <c r="S57" s="15" t="inlineStr">
        <is>
          <t>BACKLOG 5/6 · DRAFT — CHƯA DUYỆT · Nguồn ở cột K chỉ là nguồn khởi đầu, chưa thẩm định cấp câu hỏi · VÒNG LẶP ĐA CHUYÊN NGÀNH 2026-08-26: rà an toàn hằng tuần + chuyên sâu tuần tự theo ngày cột P</t>
        </is>
      </c>
    </row>
    <row r="58">
      <c r="A58" s="15" t="inlineStr">
        <is>
          <t>Q-PSYC-06</t>
        </is>
      </c>
      <c r="B58" s="15" t="inlineStr">
        <is>
          <t>PRJ-PSYC</t>
        </is>
      </c>
      <c r="C58" s="15" t="inlineStr">
        <is>
          <t>Nhận diện hưng cảm, loạn thần và chỉ định chuyển chuyên khoa</t>
        </is>
      </c>
      <c r="D58" s="15" t="inlineStr">
        <is>
          <t>Người lớn và vị thành niên khám ngoại trú vì vấn đề sức khỏe tâm thần</t>
        </is>
      </c>
      <c r="E58" s="15" t="inlineStr">
        <is>
          <t>CHƯA XÁC LẬP — hoàn thiện PICO khi dự án được kích hoạt</t>
        </is>
      </c>
      <c r="F58" s="15" t="inlineStr">
        <is>
          <t>CHƯA XÁC LẬP — hoàn thiện PICO khi dự án được kích hoạt</t>
        </is>
      </c>
      <c r="G58" s="15" t="inlineStr">
        <is>
          <t>CHƯA XÁC LẬP — hoàn thiện PICO khi dự án được kích hoạt</t>
        </is>
      </c>
      <c r="H58" s="15" t="inlineStr">
        <is>
          <t>Khám ngoại trú; thời gian theo dõi CHƯA XÁC LẬP</t>
        </is>
      </c>
      <c r="I58" s="15" t="inlineStr">
        <is>
          <t>CHƯA KHẢO SÁT — DRAFT — CHƯA DUYỆT</t>
        </is>
      </c>
      <c r="J58" s="15" t="inlineStr">
        <is>
          <t>Danh mục khởi tạo 2026-08-25</t>
        </is>
      </c>
      <c r="K58" s="15" t="inlineStr">
        <is>
          <t>https://www.who.int/publications/b/70678</t>
        </is>
      </c>
      <c r="L58" s="15" t="inlineStr">
        <is>
          <t>CHƯA GÁN — chỉ gán khi dự án được chọn</t>
        </is>
      </c>
      <c r="M58" s="15" t="inlineStr">
        <is>
          <t>Người dùng — tự phụ trách</t>
        </is>
      </c>
      <c r="N58" s="15" t="inlineStr">
        <is>
          <t>Theo sự kiện</t>
        </is>
      </c>
      <c r="O58" s="15" t="n"/>
      <c r="P58" s="41" t="n">
        <v>46321</v>
      </c>
      <c r="Q58" s="15" t="inlineStr">
        <is>
          <t>Đang thiết lập</t>
        </is>
      </c>
      <c r="R58" s="15" t="inlineStr">
        <is>
          <t>P3</t>
        </is>
      </c>
      <c r="S58" s="15" t="inlineStr">
        <is>
          <t>BACKLOG 6/6 · DRAFT — CHƯA DUYỆT · Nguồn ở cột K chỉ là nguồn khởi đầu, chưa thẩm định cấp câu hỏi · VÒNG LẶP ĐA CHUYÊN NGÀNH 2026-08-26: rà an toàn hằng tuần + chuyên sâu tuần tự theo ngày cột P</t>
        </is>
      </c>
    </row>
    <row r="59">
      <c r="A59" s="15" t="inlineStr">
        <is>
          <t>Q-ONCO-01</t>
        </is>
      </c>
      <c r="B59" s="15" t="inlineStr">
        <is>
          <t>PRJ-ONCO</t>
        </is>
      </c>
      <c r="C59" s="15" t="inlineStr">
        <is>
          <t>Sàng lọc ung thư theo tuổi và nguy cơ</t>
        </is>
      </c>
      <c r="D59" s="15" t="inlineStr">
        <is>
          <t>Người lớn khám ngoại trú cần sàng lọc, đánh giá hoặc theo dõi ung thư–huyết học</t>
        </is>
      </c>
      <c r="E59" s="15" t="inlineStr">
        <is>
          <t>CHƯA XÁC LẬP — hoàn thiện PICO khi dự án được kích hoạt</t>
        </is>
      </c>
      <c r="F59" s="15" t="inlineStr">
        <is>
          <t>CHƯA XÁC LẬP — hoàn thiện PICO khi dự án được kích hoạt</t>
        </is>
      </c>
      <c r="G59" s="15" t="inlineStr">
        <is>
          <t>CHƯA XÁC LẬP — hoàn thiện PICO khi dự án được kích hoạt</t>
        </is>
      </c>
      <c r="H59" s="15" t="inlineStr">
        <is>
          <t>Khám ngoại trú; thời gian theo dõi CHƯA XÁC LẬP</t>
        </is>
      </c>
      <c r="I59" s="15" t="inlineStr">
        <is>
          <t>CHƯA KHẢO SÁT — DRAFT — CHƯA DUYỆT</t>
        </is>
      </c>
      <c r="J59" s="15" t="inlineStr">
        <is>
          <t>Danh mục khởi tạo 2026-08-25</t>
        </is>
      </c>
      <c r="K59" s="15" t="inlineStr">
        <is>
          <t>https://www.cancer.gov/about-cancer/screening ; https://cancercontrol.cancer.gov/ocs/special-focus-areas/models-of-survivorship-care</t>
        </is>
      </c>
      <c r="L59" s="15" t="inlineStr">
        <is>
          <t>CHƯA GÁN — chỉ gán khi dự án được chọn</t>
        </is>
      </c>
      <c r="M59" s="15" t="inlineStr">
        <is>
          <t>Người dùng — tự phụ trách</t>
        </is>
      </c>
      <c r="N59" s="15" t="inlineStr">
        <is>
          <t>Theo sự kiện</t>
        </is>
      </c>
      <c r="O59" s="15" t="n"/>
      <c r="P59" s="41" t="n">
        <v>46328</v>
      </c>
      <c r="Q59" s="15" t="inlineStr">
        <is>
          <t>Đang thiết lập</t>
        </is>
      </c>
      <c r="R59" s="15" t="inlineStr">
        <is>
          <t>P2</t>
        </is>
      </c>
      <c r="S59" s="15" t="inlineStr">
        <is>
          <t>BACKLOG 1/6 · DRAFT — CHƯA DUYỆT · Nguồn ở cột K chỉ là nguồn khởi đầu, chưa thẩm định cấp câu hỏi · VÒNG LẶP ĐA CHUYÊN NGÀNH 2026-08-26: rà an toàn hằng tuần + chuyên sâu tuần tự theo ngày cột P</t>
        </is>
      </c>
    </row>
    <row r="60">
      <c r="A60" s="15" t="inlineStr">
        <is>
          <t>Q-ONCO-02</t>
        </is>
      </c>
      <c r="B60" s="15" t="inlineStr">
        <is>
          <t>PRJ-ONCO</t>
        </is>
      </c>
      <c r="C60" s="15" t="inlineStr">
        <is>
          <t>Triệu chứng báo động và chuyển khám nhanh</t>
        </is>
      </c>
      <c r="D60" s="15" t="inlineStr">
        <is>
          <t>Người lớn khám ngoại trú cần sàng lọc, đánh giá hoặc theo dõi ung thư–huyết học</t>
        </is>
      </c>
      <c r="E60" s="15" t="inlineStr">
        <is>
          <t>CHƯA XÁC LẬP — hoàn thiện PICO khi dự án được kích hoạt</t>
        </is>
      </c>
      <c r="F60" s="15" t="inlineStr">
        <is>
          <t>CHƯA XÁC LẬP — hoàn thiện PICO khi dự án được kích hoạt</t>
        </is>
      </c>
      <c r="G60" s="15" t="inlineStr">
        <is>
          <t>CHƯA XÁC LẬP — hoàn thiện PICO khi dự án được kích hoạt</t>
        </is>
      </c>
      <c r="H60" s="15" t="inlineStr">
        <is>
          <t>Khám ngoại trú; thời gian theo dõi CHƯA XÁC LẬP</t>
        </is>
      </c>
      <c r="I60" s="15" t="inlineStr">
        <is>
          <t>CHƯA KHẢO SÁT — DRAFT — CHƯA DUYỆT</t>
        </is>
      </c>
      <c r="J60" s="15" t="inlineStr">
        <is>
          <t>Danh mục khởi tạo 2026-08-25</t>
        </is>
      </c>
      <c r="K60" s="15" t="inlineStr">
        <is>
          <t>https://www.cancer.gov/about-cancer/screening ; https://cancercontrol.cancer.gov/ocs/special-focus-areas/models-of-survivorship-care</t>
        </is>
      </c>
      <c r="L60" s="15" t="inlineStr">
        <is>
          <t>CHƯA GÁN — chỉ gán khi dự án được chọn</t>
        </is>
      </c>
      <c r="M60" s="15" t="inlineStr">
        <is>
          <t>Người dùng — tự phụ trách</t>
        </is>
      </c>
      <c r="N60" s="15" t="inlineStr">
        <is>
          <t>Theo sự kiện</t>
        </is>
      </c>
      <c r="O60" s="15" t="n"/>
      <c r="P60" s="41" t="n">
        <v>46328</v>
      </c>
      <c r="Q60" s="15" t="inlineStr">
        <is>
          <t>Đang thiết lập</t>
        </is>
      </c>
      <c r="R60" s="15" t="inlineStr">
        <is>
          <t>P2</t>
        </is>
      </c>
      <c r="S60" s="15" t="inlineStr">
        <is>
          <t>BACKLOG 2/6 · DRAFT — CHƯA DUYỆT · Nguồn ở cột K chỉ là nguồn khởi đầu, chưa thẩm định cấp câu hỏi · VÒNG LẶP ĐA CHUYÊN NGÀNH 2026-08-26: rà an toàn hằng tuần + chuyên sâu tuần tự theo ngày cột P</t>
        </is>
      </c>
    </row>
    <row r="61">
      <c r="A61" s="15" t="inlineStr">
        <is>
          <t>Q-ONCO-03</t>
        </is>
      </c>
      <c r="B61" s="15" t="inlineStr">
        <is>
          <t>PRJ-ONCO</t>
        </is>
      </c>
      <c r="C61" s="15" t="inlineStr">
        <is>
          <t>Thiếu máu, giảm tế bào máu và hạch ngoại vi</t>
        </is>
      </c>
      <c r="D61" s="15" t="inlineStr">
        <is>
          <t>Người lớn khám ngoại trú cần sàng lọc, đánh giá hoặc theo dõi ung thư–huyết học</t>
        </is>
      </c>
      <c r="E61" s="15" t="inlineStr">
        <is>
          <t>CHƯA XÁC LẬP — hoàn thiện PICO khi dự án được kích hoạt</t>
        </is>
      </c>
      <c r="F61" s="15" t="inlineStr">
        <is>
          <t>CHƯA XÁC LẬP — hoàn thiện PICO khi dự án được kích hoạt</t>
        </is>
      </c>
      <c r="G61" s="15" t="inlineStr">
        <is>
          <t>CHƯA XÁC LẬP — hoàn thiện PICO khi dự án được kích hoạt</t>
        </is>
      </c>
      <c r="H61" s="15" t="inlineStr">
        <is>
          <t>Khám ngoại trú; thời gian theo dõi CHƯA XÁC LẬP</t>
        </is>
      </c>
      <c r="I61" s="15" t="inlineStr">
        <is>
          <t>CHƯA KHẢO SÁT — DRAFT — CHƯA DUYỆT</t>
        </is>
      </c>
      <c r="J61" s="15" t="inlineStr">
        <is>
          <t>Danh mục khởi tạo 2026-08-25</t>
        </is>
      </c>
      <c r="K61" s="15" t="inlineStr">
        <is>
          <t>https://www.cancer.gov/about-cancer/screening ; https://cancercontrol.cancer.gov/ocs/special-focus-areas/models-of-survivorship-care</t>
        </is>
      </c>
      <c r="L61" s="15" t="inlineStr">
        <is>
          <t>CHƯA GÁN — chỉ gán khi dự án được chọn</t>
        </is>
      </c>
      <c r="M61" s="15" t="inlineStr">
        <is>
          <t>Người dùng — tự phụ trách</t>
        </is>
      </c>
      <c r="N61" s="15" t="inlineStr">
        <is>
          <t>Theo sự kiện</t>
        </is>
      </c>
      <c r="O61" s="15" t="n"/>
      <c r="P61" s="41" t="n">
        <v>46328</v>
      </c>
      <c r="Q61" s="15" t="inlineStr">
        <is>
          <t>Đang thiết lập</t>
        </is>
      </c>
      <c r="R61" s="15" t="inlineStr">
        <is>
          <t>P2</t>
        </is>
      </c>
      <c r="S61" s="15" t="inlineStr">
        <is>
          <t>BACKLOG 3/6 · DRAFT — CHƯA DUYỆT · Nguồn ở cột K chỉ là nguồn khởi đầu, chưa thẩm định cấp câu hỏi · VÒNG LẶP ĐA CHUYÊN NGÀNH 2026-08-26: rà an toàn hằng tuần + chuyên sâu tuần tự theo ngày cột P</t>
        </is>
      </c>
    </row>
    <row r="62">
      <c r="A62" s="15" t="inlineStr">
        <is>
          <t>Q-ONCO-04</t>
        </is>
      </c>
      <c r="B62" s="15" t="inlineStr">
        <is>
          <t>PRJ-ONCO</t>
        </is>
      </c>
      <c r="C62" s="15" t="inlineStr">
        <is>
          <t>Theo dõi người sống sau ung thư</t>
        </is>
      </c>
      <c r="D62" s="15" t="inlineStr">
        <is>
          <t>Người lớn khám ngoại trú cần sàng lọc, đánh giá hoặc theo dõi ung thư–huyết học</t>
        </is>
      </c>
      <c r="E62" s="15" t="inlineStr">
        <is>
          <t>CHƯA XÁC LẬP — hoàn thiện PICO khi dự án được kích hoạt</t>
        </is>
      </c>
      <c r="F62" s="15" t="inlineStr">
        <is>
          <t>CHƯA XÁC LẬP — hoàn thiện PICO khi dự án được kích hoạt</t>
        </is>
      </c>
      <c r="G62" s="15" t="inlineStr">
        <is>
          <t>CHƯA XÁC LẬP — hoàn thiện PICO khi dự án được kích hoạt</t>
        </is>
      </c>
      <c r="H62" s="15" t="inlineStr">
        <is>
          <t>Khám ngoại trú; thời gian theo dõi CHƯA XÁC LẬP</t>
        </is>
      </c>
      <c r="I62" s="15" t="inlineStr">
        <is>
          <t>CHƯA KHẢO SÁT — DRAFT — CHƯA DUYỆT</t>
        </is>
      </c>
      <c r="J62" s="15" t="inlineStr">
        <is>
          <t>Danh mục khởi tạo 2026-08-25</t>
        </is>
      </c>
      <c r="K62" s="15" t="inlineStr">
        <is>
          <t>https://www.cancer.gov/about-cancer/screening ; https://cancercontrol.cancer.gov/ocs/special-focus-areas/models-of-survivorship-care</t>
        </is>
      </c>
      <c r="L62" s="15" t="inlineStr">
        <is>
          <t>CHƯA GÁN — chỉ gán khi dự án được chọn</t>
        </is>
      </c>
      <c r="M62" s="15" t="inlineStr">
        <is>
          <t>Người dùng — tự phụ trách</t>
        </is>
      </c>
      <c r="N62" s="15" t="inlineStr">
        <is>
          <t>Theo sự kiện</t>
        </is>
      </c>
      <c r="O62" s="15" t="n"/>
      <c r="P62" s="41" t="n">
        <v>46328</v>
      </c>
      <c r="Q62" s="15" t="inlineStr">
        <is>
          <t>Đang thiết lập</t>
        </is>
      </c>
      <c r="R62" s="15" t="inlineStr">
        <is>
          <t>P3</t>
        </is>
      </c>
      <c r="S62" s="15" t="inlineStr">
        <is>
          <t>BACKLOG 4/6 · DRAFT — CHƯA DUYỆT · Nguồn ở cột K chỉ là nguồn khởi đầu, chưa thẩm định cấp câu hỏi · VÒNG LẶP ĐA CHUYÊN NGÀNH 2026-08-26: rà an toàn hằng tuần + chuyên sâu tuần tự theo ngày cột P</t>
        </is>
      </c>
    </row>
    <row r="63">
      <c r="A63" s="15" t="inlineStr">
        <is>
          <t>Q-ONCO-05</t>
        </is>
      </c>
      <c r="B63" s="15" t="inlineStr">
        <is>
          <t>PRJ-ONCO</t>
        </is>
      </c>
      <c r="C63" s="15" t="inlineStr">
        <is>
          <t>Độc tính muộn, tương tác thuốc và tiêm chủng</t>
        </is>
      </c>
      <c r="D63" s="15" t="inlineStr">
        <is>
          <t>Người lớn khám ngoại trú cần sàng lọc, đánh giá hoặc theo dõi ung thư–huyết học</t>
        </is>
      </c>
      <c r="E63" s="15" t="inlineStr">
        <is>
          <t>CHƯA XÁC LẬP — hoàn thiện PICO khi dự án được kích hoạt</t>
        </is>
      </c>
      <c r="F63" s="15" t="inlineStr">
        <is>
          <t>CHƯA XÁC LẬP — hoàn thiện PICO khi dự án được kích hoạt</t>
        </is>
      </c>
      <c r="G63" s="15" t="inlineStr">
        <is>
          <t>CHƯA XÁC LẬP — hoàn thiện PICO khi dự án được kích hoạt</t>
        </is>
      </c>
      <c r="H63" s="15" t="inlineStr">
        <is>
          <t>Khám ngoại trú; thời gian theo dõi CHƯA XÁC LẬP</t>
        </is>
      </c>
      <c r="I63" s="15" t="inlineStr">
        <is>
          <t>CHƯA KHẢO SÁT — DRAFT — CHƯA DUYỆT</t>
        </is>
      </c>
      <c r="J63" s="15" t="inlineStr">
        <is>
          <t>Danh mục khởi tạo 2026-08-25</t>
        </is>
      </c>
      <c r="K63" s="15" t="inlineStr">
        <is>
          <t>https://www.cancer.gov/about-cancer/screening ; https://cancercontrol.cancer.gov/ocs/special-focus-areas/models-of-survivorship-care</t>
        </is>
      </c>
      <c r="L63" s="15" t="inlineStr">
        <is>
          <t>CHƯA GÁN — chỉ gán khi dự án được chọn</t>
        </is>
      </c>
      <c r="M63" s="15" t="inlineStr">
        <is>
          <t>Người dùng — tự phụ trách</t>
        </is>
      </c>
      <c r="N63" s="15" t="inlineStr">
        <is>
          <t>Theo sự kiện</t>
        </is>
      </c>
      <c r="O63" s="15" t="n"/>
      <c r="P63" s="41" t="n">
        <v>46328</v>
      </c>
      <c r="Q63" s="15" t="inlineStr">
        <is>
          <t>Đang thiết lập</t>
        </is>
      </c>
      <c r="R63" s="15" t="inlineStr">
        <is>
          <t>P3</t>
        </is>
      </c>
      <c r="S63" s="15" t="inlineStr">
        <is>
          <t>BACKLOG 5/6 · DRAFT — CHƯA DUYỆT · Nguồn ở cột K chỉ là nguồn khởi đầu, chưa thẩm định cấp câu hỏi · VÒNG LẶP ĐA CHUYÊN NGÀNH 2026-08-26: rà an toàn hằng tuần + chuyên sâu tuần tự theo ngày cột P</t>
        </is>
      </c>
    </row>
    <row r="64">
      <c r="A64" s="15" t="inlineStr">
        <is>
          <t>Q-ONCO-06</t>
        </is>
      </c>
      <c r="B64" s="15" t="inlineStr">
        <is>
          <t>PRJ-ONCO</t>
        </is>
      </c>
      <c r="C64" s="15" t="inlineStr">
        <is>
          <t>Kiểm soát triệu chứng, dinh dưỡng và chăm sóc giảm nhẹ</t>
        </is>
      </c>
      <c r="D64" s="15" t="inlineStr">
        <is>
          <t>Người lớn khám ngoại trú cần sàng lọc, đánh giá hoặc theo dõi ung thư–huyết học</t>
        </is>
      </c>
      <c r="E64" s="15" t="inlineStr">
        <is>
          <t>CHƯA XÁC LẬP — hoàn thiện PICO khi dự án được kích hoạt</t>
        </is>
      </c>
      <c r="F64" s="15" t="inlineStr">
        <is>
          <t>CHƯA XÁC LẬP — hoàn thiện PICO khi dự án được kích hoạt</t>
        </is>
      </c>
      <c r="G64" s="15" t="inlineStr">
        <is>
          <t>CHƯA XÁC LẬP — hoàn thiện PICO khi dự án được kích hoạt</t>
        </is>
      </c>
      <c r="H64" s="15" t="inlineStr">
        <is>
          <t>Khám ngoại trú; thời gian theo dõi CHƯA XÁC LẬP</t>
        </is>
      </c>
      <c r="I64" s="15" t="inlineStr">
        <is>
          <t>CHƯA KHẢO SÁT — DRAFT — CHƯA DUYỆT</t>
        </is>
      </c>
      <c r="J64" s="15" t="inlineStr">
        <is>
          <t>Danh mục khởi tạo 2026-08-25</t>
        </is>
      </c>
      <c r="K64" s="15" t="inlineStr">
        <is>
          <t>https://www.cancer.gov/about-cancer/screening ; https://cancercontrol.cancer.gov/ocs/special-focus-areas/models-of-survivorship-care</t>
        </is>
      </c>
      <c r="L64" s="15" t="inlineStr">
        <is>
          <t>CHƯA GÁN — chỉ gán khi dự án được chọn</t>
        </is>
      </c>
      <c r="M64" s="15" t="inlineStr">
        <is>
          <t>Người dùng — tự phụ trách</t>
        </is>
      </c>
      <c r="N64" s="15" t="inlineStr">
        <is>
          <t>Theo sự kiện</t>
        </is>
      </c>
      <c r="O64" s="15" t="n"/>
      <c r="P64" s="41" t="n">
        <v>46328</v>
      </c>
      <c r="Q64" s="15" t="inlineStr">
        <is>
          <t>Đang thiết lập</t>
        </is>
      </c>
      <c r="R64" s="15" t="inlineStr">
        <is>
          <t>P3</t>
        </is>
      </c>
      <c r="S64" s="15" t="inlineStr">
        <is>
          <t>BACKLOG 6/6 · DRAFT — CHƯA DUYỆT · Nguồn ở cột K chỉ là nguồn khởi đầu, chưa thẩm định cấp câu hỏi · VÒNG LẶP ĐA CHUYÊN NGÀNH 2026-08-26: rà an toàn hằng tuần + chuyên sâu tuần tự theo ngày cột P</t>
        </is>
      </c>
    </row>
    <row r="65">
      <c r="A65" s="15" t="inlineStr">
        <is>
          <t>Q-PEDS-01</t>
        </is>
      </c>
      <c r="B65" s="15" t="inlineStr">
        <is>
          <t>PRJ-PEDS</t>
        </is>
      </c>
      <c r="C65" s="15" t="inlineStr">
        <is>
          <t>Theo dõi tăng trưởng và phát triển</t>
        </is>
      </c>
      <c r="D65" s="15" t="inlineStr">
        <is>
          <t>Trẻ sơ sinh, trẻ em và thanh thiếu niên khám ngoại trú</t>
        </is>
      </c>
      <c r="E65" s="15" t="inlineStr">
        <is>
          <t>CHƯA XÁC LẬP — hoàn thiện PICO khi dự án được kích hoạt</t>
        </is>
      </c>
      <c r="F65" s="15" t="inlineStr">
        <is>
          <t>CHƯA XÁC LẬP — hoàn thiện PICO khi dự án được kích hoạt</t>
        </is>
      </c>
      <c r="G65" s="15" t="inlineStr">
        <is>
          <t>CHƯA XÁC LẬP — hoàn thiện PICO khi dự án được kích hoạt</t>
        </is>
      </c>
      <c r="H65" s="15" t="inlineStr">
        <is>
          <t>Khám ngoại trú; thời gian theo dõi CHƯA XÁC LẬP</t>
        </is>
      </c>
      <c r="I65" s="15" t="inlineStr">
        <is>
          <t>CHƯA KHẢO SÁT — DRAFT — CHƯA DUYỆT</t>
        </is>
      </c>
      <c r="J65" s="15" t="inlineStr">
        <is>
          <t>Danh mục khởi tạo 2026-08-25</t>
        </is>
      </c>
      <c r="K65" s="15" t="inlineStr">
        <is>
          <t>https://www.who.int/europe/publications/i/item/9789289057622</t>
        </is>
      </c>
      <c r="L65" s="15" t="inlineStr">
        <is>
          <t>CHƯA GÁN — chỉ gán khi dự án được chọn</t>
        </is>
      </c>
      <c r="M65" s="15" t="inlineStr">
        <is>
          <t>Người dùng — tự phụ trách</t>
        </is>
      </c>
      <c r="N65" s="15" t="inlineStr">
        <is>
          <t>Theo sự kiện</t>
        </is>
      </c>
      <c r="O65" s="15" t="n"/>
      <c r="P65" s="41" t="n">
        <v>46335</v>
      </c>
      <c r="Q65" s="15" t="inlineStr">
        <is>
          <t>Đang thiết lập</t>
        </is>
      </c>
      <c r="R65" s="15" t="inlineStr">
        <is>
          <t>P2</t>
        </is>
      </c>
      <c r="S65" s="15" t="inlineStr">
        <is>
          <t>BACKLOG 1/6 · DRAFT — CHƯA DUYỆT · Nguồn ở cột K chỉ là nguồn khởi đầu, chưa thẩm định cấp câu hỏi · VÒNG LẶP ĐA CHUYÊN NGÀNH 2026-08-26: rà an toàn hằng tuần + chuyên sâu tuần tự theo ngày cột P</t>
        </is>
      </c>
    </row>
    <row r="66">
      <c r="A66" s="15" t="inlineStr">
        <is>
          <t>Q-PEDS-02</t>
        </is>
      </c>
      <c r="B66" s="15" t="inlineStr">
        <is>
          <t>PRJ-PEDS</t>
        </is>
      </c>
      <c r="C66" s="15" t="inlineStr">
        <is>
          <t>Tiêm chủng và tiêm bù</t>
        </is>
      </c>
      <c r="D66" s="15" t="inlineStr">
        <is>
          <t>Trẻ sơ sinh, trẻ em và thanh thiếu niên khám ngoại trú</t>
        </is>
      </c>
      <c r="E66" s="15" t="inlineStr">
        <is>
          <t>CHƯA XÁC LẬP — hoàn thiện PICO khi dự án được kích hoạt</t>
        </is>
      </c>
      <c r="F66" s="15" t="inlineStr">
        <is>
          <t>CHƯA XÁC LẬP — hoàn thiện PICO khi dự án được kích hoạt</t>
        </is>
      </c>
      <c r="G66" s="15" t="inlineStr">
        <is>
          <t>CHƯA XÁC LẬP — hoàn thiện PICO khi dự án được kích hoạt</t>
        </is>
      </c>
      <c r="H66" s="15" t="inlineStr">
        <is>
          <t>Khám ngoại trú; thời gian theo dõi CHƯA XÁC LẬP</t>
        </is>
      </c>
      <c r="I66" s="15" t="inlineStr">
        <is>
          <t>CHƯA KHẢO SÁT — DRAFT — CHƯA DUYỆT</t>
        </is>
      </c>
      <c r="J66" s="15" t="inlineStr">
        <is>
          <t>Danh mục khởi tạo 2026-08-25</t>
        </is>
      </c>
      <c r="K66" s="15" t="inlineStr">
        <is>
          <t>https://www.who.int/europe/publications/i/item/9789289057622</t>
        </is>
      </c>
      <c r="L66" s="15" t="inlineStr">
        <is>
          <t>CHƯA GÁN — chỉ gán khi dự án được chọn</t>
        </is>
      </c>
      <c r="M66" s="15" t="inlineStr">
        <is>
          <t>Người dùng — tự phụ trách</t>
        </is>
      </c>
      <c r="N66" s="15" t="inlineStr">
        <is>
          <t>Theo sự kiện</t>
        </is>
      </c>
      <c r="O66" s="15" t="n"/>
      <c r="P66" s="41" t="n">
        <v>46335</v>
      </c>
      <c r="Q66" s="15" t="inlineStr">
        <is>
          <t>Đang thiết lập</t>
        </is>
      </c>
      <c r="R66" s="15" t="inlineStr">
        <is>
          <t>P2</t>
        </is>
      </c>
      <c r="S66" s="15" t="inlineStr">
        <is>
          <t>BACKLOG 2/6 · DRAFT — CHƯA DUYỆT · Nguồn ở cột K chỉ là nguồn khởi đầu, chưa thẩm định cấp câu hỏi · VÒNG LẶP ĐA CHUYÊN NGÀNH 2026-08-26: rà an toàn hằng tuần + chuyên sâu tuần tự theo ngày cột P</t>
        </is>
      </c>
    </row>
    <row r="67">
      <c r="A67" s="15" t="inlineStr">
        <is>
          <t>Q-PEDS-03</t>
        </is>
      </c>
      <c r="B67" s="15" t="inlineStr">
        <is>
          <t>PRJ-PEDS</t>
        </is>
      </c>
      <c r="C67" s="15" t="inlineStr">
        <is>
          <t>Nhiễm khuẩn hô hấp, viêm tai và viêm họng</t>
        </is>
      </c>
      <c r="D67" s="15" t="inlineStr">
        <is>
          <t>Trẻ sơ sinh, trẻ em và thanh thiếu niên khám ngoại trú</t>
        </is>
      </c>
      <c r="E67" s="15" t="inlineStr">
        <is>
          <t>CHƯA XÁC LẬP — hoàn thiện PICO khi dự án được kích hoạt</t>
        </is>
      </c>
      <c r="F67" s="15" t="inlineStr">
        <is>
          <t>CHƯA XÁC LẬP — hoàn thiện PICO khi dự án được kích hoạt</t>
        </is>
      </c>
      <c r="G67" s="15" t="inlineStr">
        <is>
          <t>CHƯA XÁC LẬP — hoàn thiện PICO khi dự án được kích hoạt</t>
        </is>
      </c>
      <c r="H67" s="15" t="inlineStr">
        <is>
          <t>Khám ngoại trú; thời gian theo dõi CHƯA XÁC LẬP</t>
        </is>
      </c>
      <c r="I67" s="15" t="inlineStr">
        <is>
          <t>CHƯA KHẢO SÁT — DRAFT — CHƯA DUYỆT</t>
        </is>
      </c>
      <c r="J67" s="15" t="inlineStr">
        <is>
          <t>Danh mục khởi tạo 2026-08-25</t>
        </is>
      </c>
      <c r="K67" s="15" t="inlineStr">
        <is>
          <t>https://www.who.int/europe/publications/i/item/9789289057622</t>
        </is>
      </c>
      <c r="L67" s="15" t="inlineStr">
        <is>
          <t>CHƯA GÁN — chỉ gán khi dự án được chọn</t>
        </is>
      </c>
      <c r="M67" s="15" t="inlineStr">
        <is>
          <t>Người dùng — tự phụ trách</t>
        </is>
      </c>
      <c r="N67" s="15" t="inlineStr">
        <is>
          <t>Theo sự kiện</t>
        </is>
      </c>
      <c r="O67" s="15" t="n"/>
      <c r="P67" s="41" t="n">
        <v>46335</v>
      </c>
      <c r="Q67" s="15" t="inlineStr">
        <is>
          <t>Đang thiết lập</t>
        </is>
      </c>
      <c r="R67" s="15" t="inlineStr">
        <is>
          <t>P2</t>
        </is>
      </c>
      <c r="S67" s="15" t="inlineStr">
        <is>
          <t>BACKLOG 3/6 · DRAFT — CHƯA DUYỆT · Nguồn ở cột K chỉ là nguồn khởi đầu, chưa thẩm định cấp câu hỏi · VÒNG LẶP ĐA CHUYÊN NGÀNH 2026-08-26: rà an toàn hằng tuần + chuyên sâu tuần tự theo ngày cột P</t>
        </is>
      </c>
    </row>
    <row r="68">
      <c r="A68" s="15" t="inlineStr">
        <is>
          <t>Q-PEDS-04</t>
        </is>
      </c>
      <c r="B68" s="15" t="inlineStr">
        <is>
          <t>PRJ-PEDS</t>
        </is>
      </c>
      <c r="C68" s="15" t="inlineStr">
        <is>
          <t>Tiêu chảy và mất nước</t>
        </is>
      </c>
      <c r="D68" s="15" t="inlineStr">
        <is>
          <t>Trẻ sơ sinh, trẻ em và thanh thiếu niên khám ngoại trú</t>
        </is>
      </c>
      <c r="E68" s="15" t="inlineStr">
        <is>
          <t>CHƯA XÁC LẬP — hoàn thiện PICO khi dự án được kích hoạt</t>
        </is>
      </c>
      <c r="F68" s="15" t="inlineStr">
        <is>
          <t>CHƯA XÁC LẬP — hoàn thiện PICO khi dự án được kích hoạt</t>
        </is>
      </c>
      <c r="G68" s="15" t="inlineStr">
        <is>
          <t>CHƯA XÁC LẬP — hoàn thiện PICO khi dự án được kích hoạt</t>
        </is>
      </c>
      <c r="H68" s="15" t="inlineStr">
        <is>
          <t>Khám ngoại trú; thời gian theo dõi CHƯA XÁC LẬP</t>
        </is>
      </c>
      <c r="I68" s="15" t="inlineStr">
        <is>
          <t>CHƯA KHẢO SÁT — DRAFT — CHƯA DUYỆT</t>
        </is>
      </c>
      <c r="J68" s="15" t="inlineStr">
        <is>
          <t>Danh mục khởi tạo 2026-08-25</t>
        </is>
      </c>
      <c r="K68" s="15" t="inlineStr">
        <is>
          <t>https://www.who.int/europe/publications/i/item/9789289057622</t>
        </is>
      </c>
      <c r="L68" s="15" t="inlineStr">
        <is>
          <t>CHƯA GÁN — chỉ gán khi dự án được chọn</t>
        </is>
      </c>
      <c r="M68" s="15" t="inlineStr">
        <is>
          <t>Người dùng — tự phụ trách</t>
        </is>
      </c>
      <c r="N68" s="15" t="inlineStr">
        <is>
          <t>Theo sự kiện</t>
        </is>
      </c>
      <c r="O68" s="15" t="n"/>
      <c r="P68" s="41" t="n">
        <v>46335</v>
      </c>
      <c r="Q68" s="15" t="inlineStr">
        <is>
          <t>Đang thiết lập</t>
        </is>
      </c>
      <c r="R68" s="15" t="inlineStr">
        <is>
          <t>P3</t>
        </is>
      </c>
      <c r="S68" s="15" t="inlineStr">
        <is>
          <t>BACKLOG 4/6 · DRAFT — CHƯA DUYỆT · Nguồn ở cột K chỉ là nguồn khởi đầu, chưa thẩm định cấp câu hỏi · VÒNG LẶP ĐA CHUYÊN NGÀNH 2026-08-26: rà an toàn hằng tuần + chuyên sâu tuần tự theo ngày cột P</t>
        </is>
      </c>
    </row>
    <row r="69">
      <c r="A69" s="15" t="inlineStr">
        <is>
          <t>Q-PEDS-05</t>
        </is>
      </c>
      <c r="B69" s="15" t="inlineStr">
        <is>
          <t>PRJ-PEDS</t>
        </is>
      </c>
      <c r="C69" s="15" t="inlineStr">
        <is>
          <t>Hen, dị ứng và chàm</t>
        </is>
      </c>
      <c r="D69" s="15" t="inlineStr">
        <is>
          <t>Trẻ sơ sinh, trẻ em và thanh thiếu niên khám ngoại trú</t>
        </is>
      </c>
      <c r="E69" s="15" t="inlineStr">
        <is>
          <t>CHƯA XÁC LẬP — hoàn thiện PICO khi dự án được kích hoạt</t>
        </is>
      </c>
      <c r="F69" s="15" t="inlineStr">
        <is>
          <t>CHƯA XÁC LẬP — hoàn thiện PICO khi dự án được kích hoạt</t>
        </is>
      </c>
      <c r="G69" s="15" t="inlineStr">
        <is>
          <t>CHƯA XÁC LẬP — hoàn thiện PICO khi dự án được kích hoạt</t>
        </is>
      </c>
      <c r="H69" s="15" t="inlineStr">
        <is>
          <t>Khám ngoại trú; thời gian theo dõi CHƯA XÁC LẬP</t>
        </is>
      </c>
      <c r="I69" s="15" t="inlineStr">
        <is>
          <t>CHƯA KHẢO SÁT — DRAFT — CHƯA DUYỆT</t>
        </is>
      </c>
      <c r="J69" s="15" t="inlineStr">
        <is>
          <t>Danh mục khởi tạo 2026-08-25</t>
        </is>
      </c>
      <c r="K69" s="15" t="inlineStr">
        <is>
          <t>https://www.who.int/europe/publications/i/item/9789289057622</t>
        </is>
      </c>
      <c r="L69" s="15" t="inlineStr">
        <is>
          <t>CHƯA GÁN — chỉ gán khi dự án được chọn</t>
        </is>
      </c>
      <c r="M69" s="15" t="inlineStr">
        <is>
          <t>Người dùng — tự phụ trách</t>
        </is>
      </c>
      <c r="N69" s="15" t="inlineStr">
        <is>
          <t>Theo sự kiện</t>
        </is>
      </c>
      <c r="O69" s="15" t="n"/>
      <c r="P69" s="41" t="n">
        <v>46335</v>
      </c>
      <c r="Q69" s="15" t="inlineStr">
        <is>
          <t>Đang thiết lập</t>
        </is>
      </c>
      <c r="R69" s="15" t="inlineStr">
        <is>
          <t>P3</t>
        </is>
      </c>
      <c r="S69" s="15" t="inlineStr">
        <is>
          <t>BACKLOG 5/6 · DRAFT — CHƯA DUYỆT · Nguồn ở cột K chỉ là nguồn khởi đầu, chưa thẩm định cấp câu hỏi · VÒNG LẶP ĐA CHUYÊN NGÀNH 2026-08-26: rà an toàn hằng tuần + chuyên sâu tuần tự theo ngày cột P</t>
        </is>
      </c>
    </row>
    <row r="70">
      <c r="A70" s="15" t="inlineStr">
        <is>
          <t>Q-PEDS-06</t>
        </is>
      </c>
      <c r="B70" s="15" t="inlineStr">
        <is>
          <t>PRJ-PEDS</t>
        </is>
      </c>
      <c r="C70" s="15" t="inlineStr">
        <is>
          <t>Dinh dưỡng, thiếu máu thiếu sắt và béo phì trẻ em</t>
        </is>
      </c>
      <c r="D70" s="15" t="inlineStr">
        <is>
          <t>Trẻ sơ sinh, trẻ em và thanh thiếu niên khám ngoại trú</t>
        </is>
      </c>
      <c r="E70" s="15" t="inlineStr">
        <is>
          <t>CHƯA XÁC LẬP — hoàn thiện PICO khi dự án được kích hoạt</t>
        </is>
      </c>
      <c r="F70" s="15" t="inlineStr">
        <is>
          <t>CHƯA XÁC LẬP — hoàn thiện PICO khi dự án được kích hoạt</t>
        </is>
      </c>
      <c r="G70" s="15" t="inlineStr">
        <is>
          <t>CHƯA XÁC LẬP — hoàn thiện PICO khi dự án được kích hoạt</t>
        </is>
      </c>
      <c r="H70" s="15" t="inlineStr">
        <is>
          <t>Khám ngoại trú; thời gian theo dõi CHƯA XÁC LẬP</t>
        </is>
      </c>
      <c r="I70" s="15" t="inlineStr">
        <is>
          <t>CHƯA KHẢO SÁT — DRAFT — CHƯA DUYỆT</t>
        </is>
      </c>
      <c r="J70" s="15" t="inlineStr">
        <is>
          <t>Danh mục khởi tạo 2026-08-25</t>
        </is>
      </c>
      <c r="K70" s="15" t="inlineStr">
        <is>
          <t>https://www.who.int/europe/publications/i/item/9789289057622</t>
        </is>
      </c>
      <c r="L70" s="15" t="inlineStr">
        <is>
          <t>CHƯA GÁN — chỉ gán khi dự án được chọn</t>
        </is>
      </c>
      <c r="M70" s="15" t="inlineStr">
        <is>
          <t>Người dùng — tự phụ trách</t>
        </is>
      </c>
      <c r="N70" s="15" t="inlineStr">
        <is>
          <t>Theo sự kiện</t>
        </is>
      </c>
      <c r="O70" s="15" t="n"/>
      <c r="P70" s="41" t="n">
        <v>46335</v>
      </c>
      <c r="Q70" s="15" t="inlineStr">
        <is>
          <t>Đang thiết lập</t>
        </is>
      </c>
      <c r="R70" s="15" t="inlineStr">
        <is>
          <t>P3</t>
        </is>
      </c>
      <c r="S70" s="15" t="inlineStr">
        <is>
          <t>BACKLOG 6/6 · DRAFT — CHƯA DUYỆT · Nguồn ở cột K chỉ là nguồn khởi đầu, chưa thẩm định cấp câu hỏi · VÒNG LẶP ĐA CHUYÊN NGÀNH 2026-08-26: rà an toàn hằng tuần + chuyên sâu tuần tự theo ngày cột P</t>
        </is>
      </c>
    </row>
    <row r="71">
      <c r="A71" s="15" t="inlineStr">
        <is>
          <t>Q-OBGY-01</t>
        </is>
      </c>
      <c r="B71" s="15" t="inlineStr">
        <is>
          <t>PRJ-OBGY</t>
        </is>
      </c>
      <c r="C71" s="15" t="inlineStr">
        <is>
          <t>Tránh thai và tư vấn trước mang thai</t>
        </is>
      </c>
      <c r="D71" s="15" t="inlineStr">
        <is>
          <t>Phụ nữ và vị thành niên nữ khám ngoại trú; thai kỳ hoặc hậu sản khi phù hợp</t>
        </is>
      </c>
      <c r="E71" s="15" t="inlineStr">
        <is>
          <t>CHƯA XÁC LẬP — hoàn thiện PICO khi dự án được kích hoạt</t>
        </is>
      </c>
      <c r="F71" s="15" t="inlineStr">
        <is>
          <t>CHƯA XÁC LẬP — hoàn thiện PICO khi dự án được kích hoạt</t>
        </is>
      </c>
      <c r="G71" s="15" t="inlineStr">
        <is>
          <t>CHƯA XÁC LẬP — hoàn thiện PICO khi dự án được kích hoạt</t>
        </is>
      </c>
      <c r="H71" s="15" t="inlineStr">
        <is>
          <t>Khám ngoại trú; thời gian theo dõi CHƯA XÁC LẬP</t>
        </is>
      </c>
      <c r="I71" s="15" t="inlineStr">
        <is>
          <t>CHƯA KHẢO SÁT — DRAFT — CHƯA DUYỆT</t>
        </is>
      </c>
      <c r="J71" s="15" t="inlineStr">
        <is>
          <t>Danh mục khởi tạo 2026-08-25</t>
        </is>
      </c>
      <c r="K71" s="15" t="inlineStr">
        <is>
          <t>https://www.who.int/publications/m/item/family-planning--a-global-handbook-for-providers--4th-ed ; https://www.who.int/news-room/fact-sheets/detail/cervical-cancer</t>
        </is>
      </c>
      <c r="L71" s="15" t="inlineStr">
        <is>
          <t>CHƯA GÁN — chỉ gán khi dự án được chọn</t>
        </is>
      </c>
      <c r="M71" s="15" t="inlineStr">
        <is>
          <t>Người dùng — tự phụ trách</t>
        </is>
      </c>
      <c r="N71" s="15" t="inlineStr">
        <is>
          <t>Theo sự kiện</t>
        </is>
      </c>
      <c r="O71" s="15" t="n"/>
      <c r="P71" s="41" t="n">
        <v>46342</v>
      </c>
      <c r="Q71" s="15" t="inlineStr">
        <is>
          <t>Đang thiết lập</t>
        </is>
      </c>
      <c r="R71" s="15" t="inlineStr">
        <is>
          <t>P2</t>
        </is>
      </c>
      <c r="S71" s="15" t="inlineStr">
        <is>
          <t>BACKLOG 1/6 · DRAFT — CHƯA DUYỆT · Nguồn ở cột K chỉ là nguồn khởi đầu, chưa thẩm định cấp câu hỏi · VÒNG LẶP ĐA CHUYÊN NGÀNH 2026-08-26: rà an toàn hằng tuần + chuyên sâu tuần tự theo ngày cột P</t>
        </is>
      </c>
    </row>
    <row r="72">
      <c r="A72" s="15" t="inlineStr">
        <is>
          <t>Q-OBGY-02</t>
        </is>
      </c>
      <c r="B72" s="15" t="inlineStr">
        <is>
          <t>PRJ-OBGY</t>
        </is>
      </c>
      <c r="C72" s="15" t="inlineStr">
        <is>
          <t>Chăm sóc thai kỳ, hậu sản và thiếu máu</t>
        </is>
      </c>
      <c r="D72" s="15" t="inlineStr">
        <is>
          <t>Phụ nữ và vị thành niên nữ khám ngoại trú; thai kỳ hoặc hậu sản khi phù hợp</t>
        </is>
      </c>
      <c r="E72" s="15" t="inlineStr">
        <is>
          <t>CHƯA XÁC LẬP — hoàn thiện PICO khi dự án được kích hoạt</t>
        </is>
      </c>
      <c r="F72" s="15" t="inlineStr">
        <is>
          <t>CHƯA XÁC LẬP — hoàn thiện PICO khi dự án được kích hoạt</t>
        </is>
      </c>
      <c r="G72" s="15" t="inlineStr">
        <is>
          <t>CHƯA XÁC LẬP — hoàn thiện PICO khi dự án được kích hoạt</t>
        </is>
      </c>
      <c r="H72" s="15" t="inlineStr">
        <is>
          <t>Khám ngoại trú; thời gian theo dõi CHƯA XÁC LẬP</t>
        </is>
      </c>
      <c r="I72" s="15" t="inlineStr">
        <is>
          <t>CHƯA KHẢO SÁT — DRAFT — CHƯA DUYỆT</t>
        </is>
      </c>
      <c r="J72" s="15" t="inlineStr">
        <is>
          <t>Danh mục khởi tạo 2026-08-25</t>
        </is>
      </c>
      <c r="K72" s="15" t="inlineStr">
        <is>
          <t>https://www.who.int/publications/m/item/family-planning--a-global-handbook-for-providers--4th-ed ; https://www.who.int/news-room/fact-sheets/detail/cervical-cancer</t>
        </is>
      </c>
      <c r="L72" s="15" t="inlineStr">
        <is>
          <t>CHƯA GÁN — chỉ gán khi dự án được chọn</t>
        </is>
      </c>
      <c r="M72" s="15" t="inlineStr">
        <is>
          <t>Người dùng — tự phụ trách</t>
        </is>
      </c>
      <c r="N72" s="15" t="inlineStr">
        <is>
          <t>Theo sự kiện</t>
        </is>
      </c>
      <c r="O72" s="15" t="n"/>
      <c r="P72" s="41" t="n">
        <v>46342</v>
      </c>
      <c r="Q72" s="15" t="inlineStr">
        <is>
          <t>Đang thiết lập</t>
        </is>
      </c>
      <c r="R72" s="15" t="inlineStr">
        <is>
          <t>P2</t>
        </is>
      </c>
      <c r="S72" s="15" t="inlineStr">
        <is>
          <t>BACKLOG 2/6 · DRAFT — CHƯA DUYỆT · Nguồn ở cột K chỉ là nguồn khởi đầu, chưa thẩm định cấp câu hỏi · VÒNG LẶP ĐA CHUYÊN NGÀNH 2026-08-26: rà an toàn hằng tuần + chuyên sâu tuần tự theo ngày cột P</t>
        </is>
      </c>
    </row>
    <row r="73">
      <c r="A73" s="15" t="inlineStr">
        <is>
          <t>Q-OBGY-03</t>
        </is>
      </c>
      <c r="B73" s="15" t="inlineStr">
        <is>
          <t>PRJ-OBGY</t>
        </is>
      </c>
      <c r="C73" s="15" t="inlineStr">
        <is>
          <t>Rối loạn kinh nguyệt, PCOS và rong huyết</t>
        </is>
      </c>
      <c r="D73" s="15" t="inlineStr">
        <is>
          <t>Phụ nữ và vị thành niên nữ khám ngoại trú; thai kỳ hoặc hậu sản khi phù hợp</t>
        </is>
      </c>
      <c r="E73" s="15" t="inlineStr">
        <is>
          <t>CHƯA XÁC LẬP — hoàn thiện PICO khi dự án được kích hoạt</t>
        </is>
      </c>
      <c r="F73" s="15" t="inlineStr">
        <is>
          <t>CHƯA XÁC LẬP — hoàn thiện PICO khi dự án được kích hoạt</t>
        </is>
      </c>
      <c r="G73" s="15" t="inlineStr">
        <is>
          <t>CHƯA XÁC LẬP — hoàn thiện PICO khi dự án được kích hoạt</t>
        </is>
      </c>
      <c r="H73" s="15" t="inlineStr">
        <is>
          <t>Khám ngoại trú; thời gian theo dõi CHƯA XÁC LẬP</t>
        </is>
      </c>
      <c r="I73" s="15" t="inlineStr">
        <is>
          <t>CHƯA KHẢO SÁT — DRAFT — CHƯA DUYỆT</t>
        </is>
      </c>
      <c r="J73" s="15" t="inlineStr">
        <is>
          <t>Danh mục khởi tạo 2026-08-25</t>
        </is>
      </c>
      <c r="K73" s="15" t="inlineStr">
        <is>
          <t>https://www.who.int/publications/m/item/family-planning--a-global-handbook-for-providers--4th-ed ; https://www.who.int/news-room/fact-sheets/detail/cervical-cancer</t>
        </is>
      </c>
      <c r="L73" s="15" t="inlineStr">
        <is>
          <t>CHƯA GÁN — chỉ gán khi dự án được chọn</t>
        </is>
      </c>
      <c r="M73" s="15" t="inlineStr">
        <is>
          <t>Người dùng — tự phụ trách</t>
        </is>
      </c>
      <c r="N73" s="15" t="inlineStr">
        <is>
          <t>Theo sự kiện</t>
        </is>
      </c>
      <c r="O73" s="15" t="n"/>
      <c r="P73" s="41" t="n">
        <v>46342</v>
      </c>
      <c r="Q73" s="15" t="inlineStr">
        <is>
          <t>Đang thiết lập</t>
        </is>
      </c>
      <c r="R73" s="15" t="inlineStr">
        <is>
          <t>P2</t>
        </is>
      </c>
      <c r="S73" s="15" t="inlineStr">
        <is>
          <t>BACKLOG 3/6 · DRAFT — CHƯA DUYỆT · Nguồn ở cột K chỉ là nguồn khởi đầu, chưa thẩm định cấp câu hỏi · VÒNG LẶP ĐA CHUYÊN NGÀNH 2026-08-26: rà an toàn hằng tuần + chuyên sâu tuần tự theo ngày cột P</t>
        </is>
      </c>
    </row>
    <row r="74">
      <c r="A74" s="15" t="inlineStr">
        <is>
          <t>Q-OBGY-04</t>
        </is>
      </c>
      <c r="B74" s="15" t="inlineStr">
        <is>
          <t>PRJ-OBGY</t>
        </is>
      </c>
      <c r="C74" s="15" t="inlineStr">
        <is>
          <t>Khí hư, STI và viêm vùng chậu</t>
        </is>
      </c>
      <c r="D74" s="15" t="inlineStr">
        <is>
          <t>Phụ nữ và vị thành niên nữ khám ngoại trú; thai kỳ hoặc hậu sản khi phù hợp</t>
        </is>
      </c>
      <c r="E74" s="15" t="inlineStr">
        <is>
          <t>CHƯA XÁC LẬP — hoàn thiện PICO khi dự án được kích hoạt</t>
        </is>
      </c>
      <c r="F74" s="15" t="inlineStr">
        <is>
          <t>CHƯA XÁC LẬP — hoàn thiện PICO khi dự án được kích hoạt</t>
        </is>
      </c>
      <c r="G74" s="15" t="inlineStr">
        <is>
          <t>CHƯA XÁC LẬP — hoàn thiện PICO khi dự án được kích hoạt</t>
        </is>
      </c>
      <c r="H74" s="15" t="inlineStr">
        <is>
          <t>Khám ngoại trú; thời gian theo dõi CHƯA XÁC LẬP</t>
        </is>
      </c>
      <c r="I74" s="15" t="inlineStr">
        <is>
          <t>CHƯA KHẢO SÁT — DRAFT — CHƯA DUYỆT</t>
        </is>
      </c>
      <c r="J74" s="15" t="inlineStr">
        <is>
          <t>Danh mục khởi tạo 2026-08-25</t>
        </is>
      </c>
      <c r="K74" s="15" t="inlineStr">
        <is>
          <t>https://www.who.int/publications/m/item/family-planning--a-global-handbook-for-providers--4th-ed ; https://www.who.int/news-room/fact-sheets/detail/cervical-cancer</t>
        </is>
      </c>
      <c r="L74" s="15" t="inlineStr">
        <is>
          <t>CHƯA GÁN — chỉ gán khi dự án được chọn</t>
        </is>
      </c>
      <c r="M74" s="15" t="inlineStr">
        <is>
          <t>Người dùng — tự phụ trách</t>
        </is>
      </c>
      <c r="N74" s="15" t="inlineStr">
        <is>
          <t>Theo sự kiện</t>
        </is>
      </c>
      <c r="O74" s="15" t="n"/>
      <c r="P74" s="41" t="n">
        <v>46342</v>
      </c>
      <c r="Q74" s="15" t="inlineStr">
        <is>
          <t>Đang thiết lập</t>
        </is>
      </c>
      <c r="R74" s="15" t="inlineStr">
        <is>
          <t>P3</t>
        </is>
      </c>
      <c r="S74" s="15" t="inlineStr">
        <is>
          <t>BACKLOG 4/6 · DRAFT — CHƯA DUYỆT · Nguồn ở cột K chỉ là nguồn khởi đầu, chưa thẩm định cấp câu hỏi · VÒNG LẶP ĐA CHUYÊN NGÀNH 2026-08-26: rà an toàn hằng tuần + chuyên sâu tuần tự theo ngày cột P</t>
        </is>
      </c>
    </row>
    <row r="75">
      <c r="A75" s="15" t="inlineStr">
        <is>
          <t>Q-OBGY-05</t>
        </is>
      </c>
      <c r="B75" s="15" t="inlineStr">
        <is>
          <t>PRJ-OBGY</t>
        </is>
      </c>
      <c r="C75" s="15" t="inlineStr">
        <is>
          <t>HPV và sàng lọc ung thư cổ tử cung</t>
        </is>
      </c>
      <c r="D75" s="15" t="inlineStr">
        <is>
          <t>Phụ nữ và vị thành niên nữ khám ngoại trú; thai kỳ hoặc hậu sản khi phù hợp</t>
        </is>
      </c>
      <c r="E75" s="15" t="inlineStr">
        <is>
          <t>CHƯA XÁC LẬP — hoàn thiện PICO khi dự án được kích hoạt</t>
        </is>
      </c>
      <c r="F75" s="15" t="inlineStr">
        <is>
          <t>CHƯA XÁC LẬP — hoàn thiện PICO khi dự án được kích hoạt</t>
        </is>
      </c>
      <c r="G75" s="15" t="inlineStr">
        <is>
          <t>CHƯA XÁC LẬP — hoàn thiện PICO khi dự án được kích hoạt</t>
        </is>
      </c>
      <c r="H75" s="15" t="inlineStr">
        <is>
          <t>Khám ngoại trú; thời gian theo dõi CHƯA XÁC LẬP</t>
        </is>
      </c>
      <c r="I75" s="15" t="inlineStr">
        <is>
          <t>CHƯA KHẢO SÁT — DRAFT — CHƯA DUYỆT</t>
        </is>
      </c>
      <c r="J75" s="15" t="inlineStr">
        <is>
          <t>Danh mục khởi tạo 2026-08-25</t>
        </is>
      </c>
      <c r="K75" s="15" t="inlineStr">
        <is>
          <t>https://www.who.int/publications/m/item/family-planning--a-global-handbook-for-providers--4th-ed ; https://www.who.int/news-room/fact-sheets/detail/cervical-cancer</t>
        </is>
      </c>
      <c r="L75" s="15" t="inlineStr">
        <is>
          <t>CHƯA GÁN — chỉ gán khi dự án được chọn</t>
        </is>
      </c>
      <c r="M75" s="15" t="inlineStr">
        <is>
          <t>Người dùng — tự phụ trách</t>
        </is>
      </c>
      <c r="N75" s="15" t="inlineStr">
        <is>
          <t>Theo sự kiện</t>
        </is>
      </c>
      <c r="O75" s="15" t="n"/>
      <c r="P75" s="41" t="n">
        <v>46342</v>
      </c>
      <c r="Q75" s="15" t="inlineStr">
        <is>
          <t>Đang thiết lập</t>
        </is>
      </c>
      <c r="R75" s="15" t="inlineStr">
        <is>
          <t>P3</t>
        </is>
      </c>
      <c r="S75" s="15" t="inlineStr">
        <is>
          <t>BACKLOG 5/6 · DRAFT — CHƯA DUYỆT · Nguồn ở cột K chỉ là nguồn khởi đầu, chưa thẩm định cấp câu hỏi · VÒNG LẶP ĐA CHUYÊN NGÀNH 2026-08-26: rà an toàn hằng tuần + chuyên sâu tuần tự theo ngày cột P</t>
        </is>
      </c>
    </row>
    <row r="76">
      <c r="A76" s="15" t="inlineStr">
        <is>
          <t>Q-OBGY-06</t>
        </is>
      </c>
      <c r="B76" s="15" t="inlineStr">
        <is>
          <t>PRJ-OBGY</t>
        </is>
      </c>
      <c r="C76" s="15" t="inlineStr">
        <is>
          <t>Tiền mãn kinh, mãn kinh và sức khỏe xương</t>
        </is>
      </c>
      <c r="D76" s="15" t="inlineStr">
        <is>
          <t>Phụ nữ và vị thành niên nữ khám ngoại trú; thai kỳ hoặc hậu sản khi phù hợp</t>
        </is>
      </c>
      <c r="E76" s="15" t="inlineStr">
        <is>
          <t>CHƯA XÁC LẬP — hoàn thiện PICO khi dự án được kích hoạt</t>
        </is>
      </c>
      <c r="F76" s="15" t="inlineStr">
        <is>
          <t>CHƯA XÁC LẬP — hoàn thiện PICO khi dự án được kích hoạt</t>
        </is>
      </c>
      <c r="G76" s="15" t="inlineStr">
        <is>
          <t>CHƯA XÁC LẬP — hoàn thiện PICO khi dự án được kích hoạt</t>
        </is>
      </c>
      <c r="H76" s="15" t="inlineStr">
        <is>
          <t>Khám ngoại trú; thời gian theo dõi CHƯA XÁC LẬP</t>
        </is>
      </c>
      <c r="I76" s="15" t="inlineStr">
        <is>
          <t>CHƯA KHẢO SÁT — DRAFT — CHƯA DUYỆT</t>
        </is>
      </c>
      <c r="J76" s="15" t="inlineStr">
        <is>
          <t>Danh mục khởi tạo 2026-08-25</t>
        </is>
      </c>
      <c r="K76" s="15" t="inlineStr">
        <is>
          <t>https://www.who.int/publications/m/item/family-planning--a-global-handbook-for-providers--4th-ed ; https://www.who.int/news-room/fact-sheets/detail/cervical-cancer</t>
        </is>
      </c>
      <c r="L76" s="15" t="inlineStr">
        <is>
          <t>CHƯA GÁN — chỉ gán khi dự án được chọn</t>
        </is>
      </c>
      <c r="M76" s="15" t="inlineStr">
        <is>
          <t>Người dùng — tự phụ trách</t>
        </is>
      </c>
      <c r="N76" s="15" t="inlineStr">
        <is>
          <t>Theo sự kiện</t>
        </is>
      </c>
      <c r="O76" s="15" t="n"/>
      <c r="P76" s="41" t="n">
        <v>46342</v>
      </c>
      <c r="Q76" s="15" t="inlineStr">
        <is>
          <t>Đang thiết lập</t>
        </is>
      </c>
      <c r="R76" s="15" t="inlineStr">
        <is>
          <t>P3</t>
        </is>
      </c>
      <c r="S76" s="15" t="inlineStr">
        <is>
          <t>BACKLOG 6/6 · DRAFT — CHƯA DUYỆT · Nguồn ở cột K chỉ là nguồn khởi đầu, chưa thẩm định cấp câu hỏi · VÒNG LẶP ĐA CHUYÊN NGÀNH 2026-08-26: rà an toàn hằng tuần + chuyên sâu tuần tự theo ngày cột P</t>
        </is>
      </c>
    </row>
    <row r="77">
      <c r="A77" s="15" t="inlineStr">
        <is>
          <t>Q-CRIT-01</t>
        </is>
      </c>
      <c r="B77" s="15" t="inlineStr">
        <is>
          <t>PRJ-CRIT</t>
        </is>
      </c>
      <c r="C77" s="15" t="inlineStr">
        <is>
          <t>Phân loại P0 hoặc P1 và tiếp cận ABCDE</t>
        </is>
      </c>
      <c r="D77" s="15" t="inlineStr">
        <is>
          <t>Người bệnh đến cơ sở ngoại trú với tình trạng cấp tính hoặc chấn thương</t>
        </is>
      </c>
      <c r="E77" s="15" t="inlineStr">
        <is>
          <t>CHƯA XÁC LẬP — hoàn thiện PICO khi dự án được kích hoạt</t>
        </is>
      </c>
      <c r="F77" s="15" t="inlineStr">
        <is>
          <t>CHƯA XÁC LẬP — hoàn thiện PICO khi dự án được kích hoạt</t>
        </is>
      </c>
      <c r="G77" s="15" t="inlineStr">
        <is>
          <t>CHƯA XÁC LẬP — hoàn thiện PICO khi dự án được kích hoạt</t>
        </is>
      </c>
      <c r="H77" s="15" t="inlineStr">
        <is>
          <t>Khám ngoại trú; thời gian theo dõi CHƯA XÁC LẬP</t>
        </is>
      </c>
      <c r="I77" s="15" t="inlineStr">
        <is>
          <t>CHƯA KHẢO SÁT — DRAFT — CHƯA DUYỆT</t>
        </is>
      </c>
      <c r="J77" s="15" t="inlineStr">
        <is>
          <t>Danh mục khởi tạo 2026-08-25</t>
        </is>
      </c>
      <c r="K77" s="15" t="inlineStr">
        <is>
          <t>https://www.who.int/tools/triage ; https://www.who.int/publications/i/item/basic-emergency-care-approach-to-the-acutely-ill-and-injured</t>
        </is>
      </c>
      <c r="L77" s="15" t="inlineStr">
        <is>
          <t>CHƯA GÁN — chỉ gán khi dự án được chọn</t>
        </is>
      </c>
      <c r="M77" s="15" t="inlineStr">
        <is>
          <t>Người dùng — tự phụ trách</t>
        </is>
      </c>
      <c r="N77" s="15" t="inlineStr">
        <is>
          <t>Theo sự kiện</t>
        </is>
      </c>
      <c r="O77" s="15" t="n"/>
      <c r="P77" s="41" t="n">
        <v>46349</v>
      </c>
      <c r="Q77" s="15" t="inlineStr">
        <is>
          <t>Đang thiết lập</t>
        </is>
      </c>
      <c r="R77" s="15" t="inlineStr">
        <is>
          <t>P2</t>
        </is>
      </c>
      <c r="S77" s="15" t="inlineStr">
        <is>
          <t>BACKLOG 1/6 · DRAFT — CHƯA DUYỆT · Nguồn ở cột K chỉ là nguồn khởi đầu, chưa thẩm định cấp câu hỏi · VÒNG LẶP ĐA CHUYÊN NGÀNH 2026-08-26: rà an toàn hằng tuần + chuyên sâu tuần tự theo ngày cột P</t>
        </is>
      </c>
    </row>
    <row r="78">
      <c r="A78" s="15" t="inlineStr">
        <is>
          <t>Q-CRIT-02</t>
        </is>
      </c>
      <c r="B78" s="15" t="inlineStr">
        <is>
          <t>PRJ-CRIT</t>
        </is>
      </c>
      <c r="C78" s="15" t="inlineStr">
        <is>
          <t>Đau ngực cấp</t>
        </is>
      </c>
      <c r="D78" s="15" t="inlineStr">
        <is>
          <t>Người bệnh đến cơ sở ngoại trú với tình trạng cấp tính hoặc chấn thương</t>
        </is>
      </c>
      <c r="E78" s="15" t="inlineStr">
        <is>
          <t>CHƯA XÁC LẬP — hoàn thiện PICO khi dự án được kích hoạt</t>
        </is>
      </c>
      <c r="F78" s="15" t="inlineStr">
        <is>
          <t>CHƯA XÁC LẬP — hoàn thiện PICO khi dự án được kích hoạt</t>
        </is>
      </c>
      <c r="G78" s="15" t="inlineStr">
        <is>
          <t>CHƯA XÁC LẬP — hoàn thiện PICO khi dự án được kích hoạt</t>
        </is>
      </c>
      <c r="H78" s="15" t="inlineStr">
        <is>
          <t>Khám ngoại trú; thời gian theo dõi CHƯA XÁC LẬP</t>
        </is>
      </c>
      <c r="I78" s="15" t="inlineStr">
        <is>
          <t>CHƯA KHẢO SÁT — DRAFT — CHƯA DUYỆT</t>
        </is>
      </c>
      <c r="J78" s="15" t="inlineStr">
        <is>
          <t>Danh mục khởi tạo 2026-08-25</t>
        </is>
      </c>
      <c r="K78" s="15" t="inlineStr">
        <is>
          <t>https://www.who.int/tools/triage ; https://www.who.int/publications/i/item/basic-emergency-care-approach-to-the-acutely-ill-and-injured</t>
        </is>
      </c>
      <c r="L78" s="15" t="inlineStr">
        <is>
          <t>CHƯA GÁN — chỉ gán khi dự án được chọn</t>
        </is>
      </c>
      <c r="M78" s="15" t="inlineStr">
        <is>
          <t>Người dùng — tự phụ trách</t>
        </is>
      </c>
      <c r="N78" s="15" t="inlineStr">
        <is>
          <t>Theo sự kiện</t>
        </is>
      </c>
      <c r="O78" s="15" t="n"/>
      <c r="P78" s="41" t="n">
        <v>46349</v>
      </c>
      <c r="Q78" s="15" t="inlineStr">
        <is>
          <t>Đang thiết lập</t>
        </is>
      </c>
      <c r="R78" s="15" t="inlineStr">
        <is>
          <t>P2</t>
        </is>
      </c>
      <c r="S78" s="15" t="inlineStr">
        <is>
          <t>BACKLOG 2/6 · DRAFT — CHƯA DUYỆT · Nguồn ở cột K chỉ là nguồn khởi đầu, chưa thẩm định cấp câu hỏi · VÒNG LẶP ĐA CHUYÊN NGÀNH 2026-08-26: rà an toàn hằng tuần + chuyên sâu tuần tự theo ngày cột P</t>
        </is>
      </c>
    </row>
    <row r="79">
      <c r="A79" s="15" t="inlineStr">
        <is>
          <t>Q-CRIT-03</t>
        </is>
      </c>
      <c r="B79" s="15" t="inlineStr">
        <is>
          <t>PRJ-CRIT</t>
        </is>
      </c>
      <c r="C79" s="15" t="inlineStr">
        <is>
          <t>Khó thở cấp và phản vệ</t>
        </is>
      </c>
      <c r="D79" s="15" t="inlineStr">
        <is>
          <t>Người bệnh đến cơ sở ngoại trú với tình trạng cấp tính hoặc chấn thương</t>
        </is>
      </c>
      <c r="E79" s="15" t="inlineStr">
        <is>
          <t>CHƯA XÁC LẬP — hoàn thiện PICO khi dự án được kích hoạt</t>
        </is>
      </c>
      <c r="F79" s="15" t="inlineStr">
        <is>
          <t>CHƯA XÁC LẬP — hoàn thiện PICO khi dự án được kích hoạt</t>
        </is>
      </c>
      <c r="G79" s="15" t="inlineStr">
        <is>
          <t>CHƯA XÁC LẬP — hoàn thiện PICO khi dự án được kích hoạt</t>
        </is>
      </c>
      <c r="H79" s="15" t="inlineStr">
        <is>
          <t>Khám ngoại trú; thời gian theo dõi CHƯA XÁC LẬP</t>
        </is>
      </c>
      <c r="I79" s="15" t="inlineStr">
        <is>
          <t>CHƯA KHẢO SÁT — DRAFT — CHƯA DUYỆT</t>
        </is>
      </c>
      <c r="J79" s="15" t="inlineStr">
        <is>
          <t>Danh mục khởi tạo 2026-08-25</t>
        </is>
      </c>
      <c r="K79" s="15" t="inlineStr">
        <is>
          <t>https://www.who.int/tools/triage ; https://www.who.int/publications/i/item/basic-emergency-care-approach-to-the-acutely-ill-and-injured</t>
        </is>
      </c>
      <c r="L79" s="15" t="inlineStr">
        <is>
          <t>CHƯA GÁN — chỉ gán khi dự án được chọn</t>
        </is>
      </c>
      <c r="M79" s="15" t="inlineStr">
        <is>
          <t>Người dùng — tự phụ trách</t>
        </is>
      </c>
      <c r="N79" s="15" t="inlineStr">
        <is>
          <t>Theo sự kiện</t>
        </is>
      </c>
      <c r="O79" s="15" t="n"/>
      <c r="P79" s="41" t="n">
        <v>46349</v>
      </c>
      <c r="Q79" s="15" t="inlineStr">
        <is>
          <t>Đang thiết lập</t>
        </is>
      </c>
      <c r="R79" s="15" t="inlineStr">
        <is>
          <t>P2</t>
        </is>
      </c>
      <c r="S79" s="15" t="inlineStr">
        <is>
          <t>BACKLOG 3/6 · DRAFT — CHƯA DUYỆT · Nguồn ở cột K chỉ là nguồn khởi đầu, chưa thẩm định cấp câu hỏi · VÒNG LẶP ĐA CHUYÊN NGÀNH 2026-08-26: rà an toàn hằng tuần + chuyên sâu tuần tự theo ngày cột P</t>
        </is>
      </c>
    </row>
    <row r="80">
      <c r="A80" s="15" t="inlineStr">
        <is>
          <t>Q-CRIT-04</t>
        </is>
      </c>
      <c r="B80" s="15" t="inlineStr">
        <is>
          <t>PRJ-CRIT</t>
        </is>
      </c>
      <c r="C80" s="15" t="inlineStr">
        <is>
          <t>Đột quỵ, co giật, rối loạn ý thức và hạ đường huyết</t>
        </is>
      </c>
      <c r="D80" s="15" t="inlineStr">
        <is>
          <t>Người bệnh đến cơ sở ngoại trú với tình trạng cấp tính hoặc chấn thương</t>
        </is>
      </c>
      <c r="E80" s="15" t="inlineStr">
        <is>
          <t>CHƯA XÁC LẬP — hoàn thiện PICO khi dự án được kích hoạt</t>
        </is>
      </c>
      <c r="F80" s="15" t="inlineStr">
        <is>
          <t>CHƯA XÁC LẬP — hoàn thiện PICO khi dự án được kích hoạt</t>
        </is>
      </c>
      <c r="G80" s="15" t="inlineStr">
        <is>
          <t>CHƯA XÁC LẬP — hoàn thiện PICO khi dự án được kích hoạt</t>
        </is>
      </c>
      <c r="H80" s="15" t="inlineStr">
        <is>
          <t>Khám ngoại trú; thời gian theo dõi CHƯA XÁC LẬP</t>
        </is>
      </c>
      <c r="I80" s="15" t="inlineStr">
        <is>
          <t>CHƯA KHẢO SÁT — DRAFT — CHƯA DUYỆT</t>
        </is>
      </c>
      <c r="J80" s="15" t="inlineStr">
        <is>
          <t>Danh mục khởi tạo 2026-08-25</t>
        </is>
      </c>
      <c r="K80" s="15" t="inlineStr">
        <is>
          <t>https://www.who.int/tools/triage ; https://www.who.int/publications/i/item/basic-emergency-care-approach-to-the-acutely-ill-and-injured</t>
        </is>
      </c>
      <c r="L80" s="15" t="inlineStr">
        <is>
          <t>CHƯA GÁN — chỉ gán khi dự án được chọn</t>
        </is>
      </c>
      <c r="M80" s="15" t="inlineStr">
        <is>
          <t>Người dùng — tự phụ trách</t>
        </is>
      </c>
      <c r="N80" s="15" t="inlineStr">
        <is>
          <t>Theo sự kiện</t>
        </is>
      </c>
      <c r="O80" s="15" t="n"/>
      <c r="P80" s="41" t="n">
        <v>46349</v>
      </c>
      <c r="Q80" s="15" t="inlineStr">
        <is>
          <t>Đang thiết lập</t>
        </is>
      </c>
      <c r="R80" s="15" t="inlineStr">
        <is>
          <t>P3</t>
        </is>
      </c>
      <c r="S80" s="15" t="inlineStr">
        <is>
          <t>BACKLOG 4/6 · DRAFT — CHƯA DUYỆT · Nguồn ở cột K chỉ là nguồn khởi đầu, chưa thẩm định cấp câu hỏi · VÒNG LẶP ĐA CHUYÊN NGÀNH 2026-08-26: rà an toàn hằng tuần + chuyên sâu tuần tự theo ngày cột P</t>
        </is>
      </c>
    </row>
    <row r="81">
      <c r="A81" s="15" t="inlineStr">
        <is>
          <t>Q-CRIT-05</t>
        </is>
      </c>
      <c r="B81" s="15" t="inlineStr">
        <is>
          <t>PRJ-CRIT</t>
        </is>
      </c>
      <c r="C81" s="15" t="inlineStr">
        <is>
          <t>Shock, sepsis, mất nước và ngất</t>
        </is>
      </c>
      <c r="D81" s="15" t="inlineStr">
        <is>
          <t>Người bệnh đến cơ sở ngoại trú với tình trạng cấp tính hoặc chấn thương</t>
        </is>
      </c>
      <c r="E81" s="15" t="inlineStr">
        <is>
          <t>CHƯA XÁC LẬP — hoàn thiện PICO khi dự án được kích hoạt</t>
        </is>
      </c>
      <c r="F81" s="15" t="inlineStr">
        <is>
          <t>CHƯA XÁC LẬP — hoàn thiện PICO khi dự án được kích hoạt</t>
        </is>
      </c>
      <c r="G81" s="15" t="inlineStr">
        <is>
          <t>CHƯA XÁC LẬP — hoàn thiện PICO khi dự án được kích hoạt</t>
        </is>
      </c>
      <c r="H81" s="15" t="inlineStr">
        <is>
          <t>Khám ngoại trú; thời gian theo dõi CHƯA XÁC LẬP</t>
        </is>
      </c>
      <c r="I81" s="15" t="inlineStr">
        <is>
          <t>CHƯA KHẢO SÁT — DRAFT — CHƯA DUYỆT</t>
        </is>
      </c>
      <c r="J81" s="15" t="inlineStr">
        <is>
          <t>Danh mục khởi tạo 2026-08-25</t>
        </is>
      </c>
      <c r="K81" s="15" t="inlineStr">
        <is>
          <t>https://www.who.int/tools/triage ; https://www.who.int/publications/i/item/basic-emergency-care-approach-to-the-acutely-ill-and-injured</t>
        </is>
      </c>
      <c r="L81" s="15" t="inlineStr">
        <is>
          <t>CHƯA GÁN — chỉ gán khi dự án được chọn</t>
        </is>
      </c>
      <c r="M81" s="15" t="inlineStr">
        <is>
          <t>Người dùng — tự phụ trách</t>
        </is>
      </c>
      <c r="N81" s="15" t="inlineStr">
        <is>
          <t>Theo sự kiện</t>
        </is>
      </c>
      <c r="O81" s="15" t="n"/>
      <c r="P81" s="41" t="n">
        <v>46349</v>
      </c>
      <c r="Q81" s="15" t="inlineStr">
        <is>
          <t>Đang thiết lập</t>
        </is>
      </c>
      <c r="R81" s="15" t="inlineStr">
        <is>
          <t>P3</t>
        </is>
      </c>
      <c r="S81" s="15" t="inlineStr">
        <is>
          <t>BACKLOG 5/6 · DRAFT — CHƯA DUYỆT · Nguồn ở cột K chỉ là nguồn khởi đầu, chưa thẩm định cấp câu hỏi · VÒNG LẶP ĐA CHUYÊN NGÀNH 2026-08-26: rà an toàn hằng tuần + chuyên sâu tuần tự theo ngày cột P</t>
        </is>
      </c>
    </row>
    <row r="82">
      <c r="A82" s="15" t="inlineStr">
        <is>
          <t>Q-CRIT-06</t>
        </is>
      </c>
      <c r="B82" s="15" t="inlineStr">
        <is>
          <t>PRJ-CRIT</t>
        </is>
      </c>
      <c r="C82" s="15" t="inlineStr">
        <is>
          <t>Chấn thương, bỏng, ngộ độc và chuyển viện an toàn</t>
        </is>
      </c>
      <c r="D82" s="15" t="inlineStr">
        <is>
          <t>Người bệnh đến cơ sở ngoại trú với tình trạng cấp tính hoặc chấn thương</t>
        </is>
      </c>
      <c r="E82" s="15" t="inlineStr">
        <is>
          <t>CHƯA XÁC LẬP — hoàn thiện PICO khi dự án được kích hoạt</t>
        </is>
      </c>
      <c r="F82" s="15" t="inlineStr">
        <is>
          <t>CHƯA XÁC LẬP — hoàn thiện PICO khi dự án được kích hoạt</t>
        </is>
      </c>
      <c r="G82" s="15" t="inlineStr">
        <is>
          <t>CHƯA XÁC LẬP — hoàn thiện PICO khi dự án được kích hoạt</t>
        </is>
      </c>
      <c r="H82" s="15" t="inlineStr">
        <is>
          <t>Khám ngoại trú; thời gian theo dõi CHƯA XÁC LẬP</t>
        </is>
      </c>
      <c r="I82" s="15" t="inlineStr">
        <is>
          <t>CHƯA KHẢO SÁT — DRAFT — CHƯA DUYỆT</t>
        </is>
      </c>
      <c r="J82" s="15" t="inlineStr">
        <is>
          <t>Danh mục khởi tạo 2026-08-25</t>
        </is>
      </c>
      <c r="K82" s="15" t="inlineStr">
        <is>
          <t>https://www.who.int/tools/triage ; https://www.who.int/publications/i/item/basic-emergency-care-approach-to-the-acutely-ill-and-injured</t>
        </is>
      </c>
      <c r="L82" s="15" t="inlineStr">
        <is>
          <t>CHƯA GÁN — chỉ gán khi dự án được chọn</t>
        </is>
      </c>
      <c r="M82" s="15" t="inlineStr">
        <is>
          <t>Người dùng — tự phụ trách</t>
        </is>
      </c>
      <c r="N82" s="15" t="inlineStr">
        <is>
          <t>Theo sự kiện</t>
        </is>
      </c>
      <c r="O82" s="15" t="n"/>
      <c r="P82" s="41" t="n">
        <v>46349</v>
      </c>
      <c r="Q82" s="15" t="inlineStr">
        <is>
          <t>Đang thiết lập</t>
        </is>
      </c>
      <c r="R82" s="15" t="inlineStr">
        <is>
          <t>P3</t>
        </is>
      </c>
      <c r="S82" s="15" t="inlineStr">
        <is>
          <t>BACKLOG 6/6 · DRAFT — CHƯA DUYỆT · Nguồn ở cột K chỉ là nguồn khởi đầu, chưa thẩm định cấp câu hỏi · VÒNG LẶP ĐA CHUYÊN NGÀNH 2026-08-26: rà an toàn hằng tuần + chuyên sâu tuần tự theo ngày cột P</t>
        </is>
      </c>
    </row>
    <row r="83">
      <c r="A83" s="15" t="inlineStr">
        <is>
          <t>Q-DRUG-01</t>
        </is>
      </c>
      <c r="B83" s="15" t="inlineStr">
        <is>
          <t>PRJ-DRUG</t>
        </is>
      </c>
      <c r="C83" s="15" t="inlineStr">
        <is>
          <t>Đối chiếu thuốc và đa thuốc</t>
        </is>
      </c>
      <c r="D83" s="15" t="inlineStr">
        <is>
          <t>Người sử dụng thuốc trong chăm sóc ngoại trú</t>
        </is>
      </c>
      <c r="E83" s="15" t="inlineStr">
        <is>
          <t>CHƯA XÁC LẬP — hoàn thiện PICO khi dự án được kích hoạt</t>
        </is>
      </c>
      <c r="F83" s="15" t="inlineStr">
        <is>
          <t>CHƯA XÁC LẬP — hoàn thiện PICO khi dự án được kích hoạt</t>
        </is>
      </c>
      <c r="G83" s="15" t="inlineStr">
        <is>
          <t>CHƯA XÁC LẬP — hoàn thiện PICO khi dự án được kích hoạt</t>
        </is>
      </c>
      <c r="H83" s="15" t="inlineStr">
        <is>
          <t>Khám ngoại trú; thời gian theo dõi CHƯA XÁC LẬP</t>
        </is>
      </c>
      <c r="I83" s="15" t="inlineStr">
        <is>
          <t>CHƯA KHẢO SÁT — DRAFT — CHƯA DUYỆT</t>
        </is>
      </c>
      <c r="J83" s="15" t="inlineStr">
        <is>
          <t>Danh mục khởi tạo 2026-08-25</t>
        </is>
      </c>
      <c r="K83" s="15" t="inlineStr">
        <is>
          <t>https://www.who.int/publications/i/item/9789240062764/</t>
        </is>
      </c>
      <c r="L83" s="15" t="inlineStr">
        <is>
          <t>CHƯA GÁN — chỉ gán khi dự án được chọn</t>
        </is>
      </c>
      <c r="M83" s="15" t="inlineStr">
        <is>
          <t>Người dùng — tự phụ trách</t>
        </is>
      </c>
      <c r="N83" s="15" t="inlineStr">
        <is>
          <t>Theo sự kiện</t>
        </is>
      </c>
      <c r="O83" s="15" t="n"/>
      <c r="P83" s="41" t="n">
        <v>46356</v>
      </c>
      <c r="Q83" s="15" t="inlineStr">
        <is>
          <t>Đang thiết lập</t>
        </is>
      </c>
      <c r="R83" s="15" t="inlineStr">
        <is>
          <t>P2</t>
        </is>
      </c>
      <c r="S83" s="15" t="inlineStr">
        <is>
          <t>BACKLOG 1/6 · DRAFT — CHƯA DUYỆT · Nguồn ở cột K chỉ là nguồn khởi đầu, chưa thẩm định cấp câu hỏi · VÒNG LẶP ĐA CHUYÊN NGÀNH 2026-08-26: rà an toàn hằng tuần + chuyên sâu tuần tự theo ngày cột P</t>
        </is>
      </c>
    </row>
    <row r="84">
      <c r="A84" s="15" t="inlineStr">
        <is>
          <t>Q-DRUG-02</t>
        </is>
      </c>
      <c r="B84" s="15" t="inlineStr">
        <is>
          <t>PRJ-DRUG</t>
        </is>
      </c>
      <c r="C84" s="15" t="inlineStr">
        <is>
          <t>Thuốc nguy cơ cao: chống đông, insulin, opioid và ức chế miễn dịch</t>
        </is>
      </c>
      <c r="D84" s="15" t="inlineStr">
        <is>
          <t>Người sử dụng thuốc trong chăm sóc ngoại trú</t>
        </is>
      </c>
      <c r="E84" s="15" t="inlineStr">
        <is>
          <t>CHƯA XÁC LẬP — hoàn thiện PICO khi dự án được kích hoạt</t>
        </is>
      </c>
      <c r="F84" s="15" t="inlineStr">
        <is>
          <t>CHƯA XÁC LẬP — hoàn thiện PICO khi dự án được kích hoạt</t>
        </is>
      </c>
      <c r="G84" s="15" t="inlineStr">
        <is>
          <t>CHƯA XÁC LẬP — hoàn thiện PICO khi dự án được kích hoạt</t>
        </is>
      </c>
      <c r="H84" s="15" t="inlineStr">
        <is>
          <t>Khám ngoại trú; thời gian theo dõi CHƯA XÁC LẬP</t>
        </is>
      </c>
      <c r="I84" s="15" t="inlineStr">
        <is>
          <t>CHƯA KHẢO SÁT — DRAFT — CHƯA DUYỆT</t>
        </is>
      </c>
      <c r="J84" s="15" t="inlineStr">
        <is>
          <t>Danh mục khởi tạo 2026-08-25</t>
        </is>
      </c>
      <c r="K84" s="15" t="inlineStr">
        <is>
          <t>https://www.who.int/publications/i/item/9789240062764/</t>
        </is>
      </c>
      <c r="L84" s="15" t="inlineStr">
        <is>
          <t>CHƯA GÁN — chỉ gán khi dự án được chọn</t>
        </is>
      </c>
      <c r="M84" s="15" t="inlineStr">
        <is>
          <t>Người dùng — tự phụ trách</t>
        </is>
      </c>
      <c r="N84" s="15" t="inlineStr">
        <is>
          <t>Theo sự kiện</t>
        </is>
      </c>
      <c r="O84" s="15" t="n"/>
      <c r="P84" s="41" t="n">
        <v>46356</v>
      </c>
      <c r="Q84" s="15" t="inlineStr">
        <is>
          <t>Đang thiết lập</t>
        </is>
      </c>
      <c r="R84" s="15" t="inlineStr">
        <is>
          <t>P2</t>
        </is>
      </c>
      <c r="S84" s="15" t="inlineStr">
        <is>
          <t>BACKLOG 2/6 · DRAFT — CHƯA DUYỆT · Nguồn ở cột K chỉ là nguồn khởi đầu, chưa thẩm định cấp câu hỏi · VÒNG LẶP ĐA CHUYÊN NGÀNH 2026-08-26: rà an toàn hằng tuần + chuyên sâu tuần tự theo ngày cột P</t>
        </is>
      </c>
    </row>
    <row r="85">
      <c r="A85" s="15" t="inlineStr">
        <is>
          <t>Q-DRUG-03</t>
        </is>
      </c>
      <c r="B85" s="15" t="inlineStr">
        <is>
          <t>PRJ-DRUG</t>
        </is>
      </c>
      <c r="C85" s="15" t="inlineStr">
        <is>
          <t>Chỉnh liều theo chức năng gan và thận</t>
        </is>
      </c>
      <c r="D85" s="15" t="inlineStr">
        <is>
          <t>Người sử dụng thuốc trong chăm sóc ngoại trú</t>
        </is>
      </c>
      <c r="E85" s="15" t="inlineStr">
        <is>
          <t>CHƯA XÁC LẬP — hoàn thiện PICO khi dự án được kích hoạt</t>
        </is>
      </c>
      <c r="F85" s="15" t="inlineStr">
        <is>
          <t>CHƯA XÁC LẬP — hoàn thiện PICO khi dự án được kích hoạt</t>
        </is>
      </c>
      <c r="G85" s="15" t="inlineStr">
        <is>
          <t>CHƯA XÁC LẬP — hoàn thiện PICO khi dự án được kích hoạt</t>
        </is>
      </c>
      <c r="H85" s="15" t="inlineStr">
        <is>
          <t>Khám ngoại trú; thời gian theo dõi CHƯA XÁC LẬP</t>
        </is>
      </c>
      <c r="I85" s="15" t="inlineStr">
        <is>
          <t>CHƯA KHẢO SÁT — DRAFT — CHƯA DUYỆT</t>
        </is>
      </c>
      <c r="J85" s="15" t="inlineStr">
        <is>
          <t>Danh mục khởi tạo 2026-08-25</t>
        </is>
      </c>
      <c r="K85" s="15" t="inlineStr">
        <is>
          <t>https://www.who.int/publications/i/item/9789240062764/</t>
        </is>
      </c>
      <c r="L85" s="15" t="inlineStr">
        <is>
          <t>CHƯA GÁN — chỉ gán khi dự án được chọn</t>
        </is>
      </c>
      <c r="M85" s="15" t="inlineStr">
        <is>
          <t>Người dùng — tự phụ trách</t>
        </is>
      </c>
      <c r="N85" s="15" t="inlineStr">
        <is>
          <t>Theo sự kiện</t>
        </is>
      </c>
      <c r="O85" s="15" t="n"/>
      <c r="P85" s="41" t="n">
        <v>46356</v>
      </c>
      <c r="Q85" s="15" t="inlineStr">
        <is>
          <t>Đang thiết lập</t>
        </is>
      </c>
      <c r="R85" s="15" t="inlineStr">
        <is>
          <t>P2</t>
        </is>
      </c>
      <c r="S85" s="15" t="inlineStr">
        <is>
          <t>BACKLOG 3/6 · DRAFT — CHƯA DUYỆT · Nguồn ở cột K chỉ là nguồn khởi đầu, chưa thẩm định cấp câu hỏi · VÒNG LẶP ĐA CHUYÊN NGÀNH 2026-08-26: rà an toàn hằng tuần + chuyên sâu tuần tự theo ngày cột P</t>
        </is>
      </c>
    </row>
    <row r="86">
      <c r="A86" s="15" t="inlineStr">
        <is>
          <t>Q-DRUG-04</t>
        </is>
      </c>
      <c r="B86" s="15" t="inlineStr">
        <is>
          <t>PRJ-DRUG</t>
        </is>
      </c>
      <c r="C86" s="15" t="inlineStr">
        <is>
          <t>Dị ứng, phản ứng có hại và cảnh giác dược</t>
        </is>
      </c>
      <c r="D86" s="15" t="inlineStr">
        <is>
          <t>Người sử dụng thuốc trong chăm sóc ngoại trú</t>
        </is>
      </c>
      <c r="E86" s="15" t="inlineStr">
        <is>
          <t>CHƯA XÁC LẬP — hoàn thiện PICO khi dự án được kích hoạt</t>
        </is>
      </c>
      <c r="F86" s="15" t="inlineStr">
        <is>
          <t>CHƯA XÁC LẬP — hoàn thiện PICO khi dự án được kích hoạt</t>
        </is>
      </c>
      <c r="G86" s="15" t="inlineStr">
        <is>
          <t>CHƯA XÁC LẬP — hoàn thiện PICO khi dự án được kích hoạt</t>
        </is>
      </c>
      <c r="H86" s="15" t="inlineStr">
        <is>
          <t>Khám ngoại trú; thời gian theo dõi CHƯA XÁC LẬP</t>
        </is>
      </c>
      <c r="I86" s="15" t="inlineStr">
        <is>
          <t>CHƯA KHẢO SÁT — DRAFT — CHƯA DUYỆT</t>
        </is>
      </c>
      <c r="J86" s="15" t="inlineStr">
        <is>
          <t>Danh mục khởi tạo 2026-08-25</t>
        </is>
      </c>
      <c r="K86" s="15" t="inlineStr">
        <is>
          <t>https://www.who.int/publications/i/item/9789240062764/</t>
        </is>
      </c>
      <c r="L86" s="15" t="inlineStr">
        <is>
          <t>CHƯA GÁN — chỉ gán khi dự án được chọn</t>
        </is>
      </c>
      <c r="M86" s="15" t="inlineStr">
        <is>
          <t>Người dùng — tự phụ trách</t>
        </is>
      </c>
      <c r="N86" s="15" t="inlineStr">
        <is>
          <t>Theo sự kiện</t>
        </is>
      </c>
      <c r="O86" s="15" t="n"/>
      <c r="P86" s="41" t="n">
        <v>46356</v>
      </c>
      <c r="Q86" s="15" t="inlineStr">
        <is>
          <t>Đang thiết lập</t>
        </is>
      </c>
      <c r="R86" s="15" t="inlineStr">
        <is>
          <t>P3</t>
        </is>
      </c>
      <c r="S86" s="15" t="inlineStr">
        <is>
          <t>BACKLOG 4/6 · DRAFT — CHƯA DUYỆT · Nguồn ở cột K chỉ là nguồn khởi đầu, chưa thẩm định cấp câu hỏi · VÒNG LẶP ĐA CHUYÊN NGÀNH 2026-08-26: rà an toàn hằng tuần + chuyên sâu tuần tự theo ngày cột P</t>
        </is>
      </c>
    </row>
    <row r="87">
      <c r="A87" s="15" t="inlineStr">
        <is>
          <t>Q-DRUG-05</t>
        </is>
      </c>
      <c r="B87" s="15" t="inlineStr">
        <is>
          <t>PRJ-DRUG</t>
        </is>
      </c>
      <c r="C87" s="15" t="inlineStr">
        <is>
          <t>Tương tác với thuốc OTC, dược liệu và thuốc cổ truyền</t>
        </is>
      </c>
      <c r="D87" s="15" t="inlineStr">
        <is>
          <t>Người sử dụng thuốc trong chăm sóc ngoại trú</t>
        </is>
      </c>
      <c r="E87" s="15" t="inlineStr">
        <is>
          <t>CHƯA XÁC LẬP — hoàn thiện PICO khi dự án được kích hoạt</t>
        </is>
      </c>
      <c r="F87" s="15" t="inlineStr">
        <is>
          <t>CHƯA XÁC LẬP — hoàn thiện PICO khi dự án được kích hoạt</t>
        </is>
      </c>
      <c r="G87" s="15" t="inlineStr">
        <is>
          <t>CHƯA XÁC LẬP — hoàn thiện PICO khi dự án được kích hoạt</t>
        </is>
      </c>
      <c r="H87" s="15" t="inlineStr">
        <is>
          <t>Khám ngoại trú; thời gian theo dõi CHƯA XÁC LẬP</t>
        </is>
      </c>
      <c r="I87" s="15" t="inlineStr">
        <is>
          <t>CHƯA KHẢO SÁT — DRAFT — CHƯA DUYỆT</t>
        </is>
      </c>
      <c r="J87" s="15" t="inlineStr">
        <is>
          <t>Danh mục khởi tạo 2026-08-25</t>
        </is>
      </c>
      <c r="K87" s="15" t="inlineStr">
        <is>
          <t>https://www.who.int/publications/i/item/9789240062764/</t>
        </is>
      </c>
      <c r="L87" s="15" t="inlineStr">
        <is>
          <t>CHƯA GÁN — chỉ gán khi dự án được chọn</t>
        </is>
      </c>
      <c r="M87" s="15" t="inlineStr">
        <is>
          <t>Người dùng — tự phụ trách</t>
        </is>
      </c>
      <c r="N87" s="15" t="inlineStr">
        <is>
          <t>Theo sự kiện</t>
        </is>
      </c>
      <c r="O87" s="15" t="n"/>
      <c r="P87" s="41" t="n">
        <v>46356</v>
      </c>
      <c r="Q87" s="15" t="inlineStr">
        <is>
          <t>Đang thiết lập</t>
        </is>
      </c>
      <c r="R87" s="15" t="inlineStr">
        <is>
          <t>P3</t>
        </is>
      </c>
      <c r="S87" s="15" t="inlineStr">
        <is>
          <t>BACKLOG 5/6 · DRAFT — CHƯA DUYỆT · Nguồn ở cột K chỉ là nguồn khởi đầu, chưa thẩm định cấp câu hỏi · VÒNG LẶP ĐA CHUYÊN NGÀNH 2026-08-26: rà an toàn hằng tuần + chuyên sâu tuần tự theo ngày cột P</t>
        </is>
      </c>
    </row>
    <row r="88">
      <c r="A88" s="15" t="inlineStr">
        <is>
          <t>Q-DRUG-06</t>
        </is>
      </c>
      <c r="B88" s="15" t="inlineStr">
        <is>
          <t>PRJ-DRUG</t>
        </is>
      </c>
      <c r="C88" s="15" t="inlineStr">
        <is>
          <t>Thuốc ở người cao tuổi, thai kỳ, cho con bú và chuyển tiếp chăm sóc</t>
        </is>
      </c>
      <c r="D88" s="15" t="inlineStr">
        <is>
          <t>Người sử dụng thuốc trong chăm sóc ngoại trú</t>
        </is>
      </c>
      <c r="E88" s="15" t="inlineStr">
        <is>
          <t>CHƯA XÁC LẬP — hoàn thiện PICO khi dự án được kích hoạt</t>
        </is>
      </c>
      <c r="F88" s="15" t="inlineStr">
        <is>
          <t>CHƯA XÁC LẬP — hoàn thiện PICO khi dự án được kích hoạt</t>
        </is>
      </c>
      <c r="G88" s="15" t="inlineStr">
        <is>
          <t>CHƯA XÁC LẬP — hoàn thiện PICO khi dự án được kích hoạt</t>
        </is>
      </c>
      <c r="H88" s="15" t="inlineStr">
        <is>
          <t>Khám ngoại trú; thời gian theo dõi CHƯA XÁC LẬP</t>
        </is>
      </c>
      <c r="I88" s="15" t="inlineStr">
        <is>
          <t>CHƯA KHẢO SÁT — DRAFT — CHƯA DUYỆT</t>
        </is>
      </c>
      <c r="J88" s="15" t="inlineStr">
        <is>
          <t>Danh mục khởi tạo 2026-08-25</t>
        </is>
      </c>
      <c r="K88" s="15" t="inlineStr">
        <is>
          <t>https://www.who.int/publications/i/item/9789240062764/</t>
        </is>
      </c>
      <c r="L88" s="15" t="inlineStr">
        <is>
          <t>CHƯA GÁN — chỉ gán khi dự án được chọn</t>
        </is>
      </c>
      <c r="M88" s="15" t="inlineStr">
        <is>
          <t>Người dùng — tự phụ trách</t>
        </is>
      </c>
      <c r="N88" s="15" t="inlineStr">
        <is>
          <t>Theo sự kiện</t>
        </is>
      </c>
      <c r="O88" s="15" t="n"/>
      <c r="P88" s="41" t="n">
        <v>46356</v>
      </c>
      <c r="Q88" s="15" t="inlineStr">
        <is>
          <t>Đang thiết lập</t>
        </is>
      </c>
      <c r="R88" s="15" t="inlineStr">
        <is>
          <t>P3</t>
        </is>
      </c>
      <c r="S88" s="15" t="inlineStr">
        <is>
          <t>BACKLOG 6/6 · DRAFT — CHƯA DUYỆT · Nguồn ở cột K chỉ là nguồn khởi đầu, chưa thẩm định cấp câu hỏi · VÒNG LẶP ĐA CHUYÊN NGÀNH 2026-08-26: rà an toàn hằng tuần + chuyên sâu tuần tự theo ngày cột P</t>
        </is>
      </c>
    </row>
    <row r="89">
      <c r="A89" s="15" t="inlineStr">
        <is>
          <t>Q-SCORE-01</t>
        </is>
      </c>
      <c r="B89" s="15" t="inlineStr">
        <is>
          <t>PRJ-SCORE</t>
        </is>
      </c>
      <c r="C89" s="15" t="inlineStr">
        <is>
          <t>Nguy cơ tim mạch và rung nhĩ hoặc chảy máu</t>
        </is>
      </c>
      <c r="D89" s="15" t="inlineStr">
        <is>
          <t>Người bệnh ngoại trú thuộc quần thể mục tiêu của từng công cụ</t>
        </is>
      </c>
      <c r="E89" s="15" t="inlineStr">
        <is>
          <t>CHƯA XÁC LẬP — hoàn thiện PICO khi dự án được kích hoạt</t>
        </is>
      </c>
      <c r="F89" s="15" t="inlineStr">
        <is>
          <t>CHƯA XÁC LẬP — hoàn thiện PICO khi dự án được kích hoạt</t>
        </is>
      </c>
      <c r="G89" s="15" t="inlineStr">
        <is>
          <t>CHƯA XÁC LẬP — hoàn thiện PICO khi dự án được kích hoạt</t>
        </is>
      </c>
      <c r="H89" s="15" t="inlineStr">
        <is>
          <t>Khám ngoại trú; thời gian theo dõi CHƯA XÁC LẬP</t>
        </is>
      </c>
      <c r="I89" s="15" t="inlineStr">
        <is>
          <t>CHƯA KHẢO SÁT — DRAFT — CHƯA DUYỆT</t>
        </is>
      </c>
      <c r="J89" s="15" t="inlineStr">
        <is>
          <t>Danh mục khởi tạo 2026-08-25</t>
        </is>
      </c>
      <c r="K89" s="15" t="inlineStr">
        <is>
          <t>https://www.escardio.org/guidelines/practice-tools/cvd-prevention-toolbox/esc-cvd-risk-calculation-app/ ; https://kdigo.org/guidelines/ckd-evaluation-and-management/ ; https://www.who.int/publications/m/item/primary-care-checklist</t>
        </is>
      </c>
      <c r="L89" s="15" t="inlineStr">
        <is>
          <t>CHƯA GÁN — chỉ gán khi dự án được chọn</t>
        </is>
      </c>
      <c r="M89" s="15" t="inlineStr">
        <is>
          <t>Người dùng — tự phụ trách</t>
        </is>
      </c>
      <c r="N89" s="15" t="inlineStr">
        <is>
          <t>Theo sự kiện</t>
        </is>
      </c>
      <c r="O89" s="15" t="n"/>
      <c r="P89" s="41" t="n">
        <v>46363</v>
      </c>
      <c r="Q89" s="15" t="inlineStr">
        <is>
          <t>Đang thiết lập</t>
        </is>
      </c>
      <c r="R89" s="15" t="inlineStr">
        <is>
          <t>P2</t>
        </is>
      </c>
      <c r="S89" s="15" t="inlineStr">
        <is>
          <t>BACKLOG 1/6 · DRAFT — CHƯA DUYỆT · Nguồn ở cột K chỉ là nguồn khởi đầu, chưa thẩm định cấp câu hỏi · VÒNG LẶP ĐA CHUYÊN NGÀNH 2026-08-26: rà an toàn hằng tuần + chuyên sâu tuần tự theo ngày cột P</t>
        </is>
      </c>
    </row>
    <row r="90">
      <c r="A90" s="15" t="inlineStr">
        <is>
          <t>Q-SCORE-02</t>
        </is>
      </c>
      <c r="B90" s="15" t="inlineStr">
        <is>
          <t>PRJ-SCORE</t>
        </is>
      </c>
      <c r="C90" s="15" t="inlineStr">
        <is>
          <t>CKD và nguy cơ suy thận</t>
        </is>
      </c>
      <c r="D90" s="15" t="inlineStr">
        <is>
          <t>Người bệnh ngoại trú thuộc quần thể mục tiêu của từng công cụ</t>
        </is>
      </c>
      <c r="E90" s="15" t="inlineStr">
        <is>
          <t>CHƯA XÁC LẬP — hoàn thiện PICO khi dự án được kích hoạt</t>
        </is>
      </c>
      <c r="F90" s="15" t="inlineStr">
        <is>
          <t>CHƯA XÁC LẬP — hoàn thiện PICO khi dự án được kích hoạt</t>
        </is>
      </c>
      <c r="G90" s="15" t="inlineStr">
        <is>
          <t>CHƯA XÁC LẬP — hoàn thiện PICO khi dự án được kích hoạt</t>
        </is>
      </c>
      <c r="H90" s="15" t="inlineStr">
        <is>
          <t>Khám ngoại trú; thời gian theo dõi CHƯA XÁC LẬP</t>
        </is>
      </c>
      <c r="I90" s="15" t="inlineStr">
        <is>
          <t>CHƯA KHẢO SÁT — DRAFT — CHƯA DUYỆT</t>
        </is>
      </c>
      <c r="J90" s="15" t="inlineStr">
        <is>
          <t>Danh mục khởi tạo 2026-08-25</t>
        </is>
      </c>
      <c r="K90" s="15" t="inlineStr">
        <is>
          <t>https://www.escardio.org/guidelines/practice-tools/cvd-prevention-toolbox/esc-cvd-risk-calculation-app/ ; https://kdigo.org/guidelines/ckd-evaluation-and-management/ ; https://www.who.int/publications/m/item/primary-care-checklist</t>
        </is>
      </c>
      <c r="L90" s="15" t="inlineStr">
        <is>
          <t>CHƯA GÁN — chỉ gán khi dự án được chọn</t>
        </is>
      </c>
      <c r="M90" s="15" t="inlineStr">
        <is>
          <t>Người dùng — tự phụ trách</t>
        </is>
      </c>
      <c r="N90" s="15" t="inlineStr">
        <is>
          <t>Theo sự kiện</t>
        </is>
      </c>
      <c r="O90" s="15" t="n"/>
      <c r="P90" s="41" t="n">
        <v>46363</v>
      </c>
      <c r="Q90" s="15" t="inlineStr">
        <is>
          <t>Đang thiết lập</t>
        </is>
      </c>
      <c r="R90" s="15" t="inlineStr">
        <is>
          <t>P2</t>
        </is>
      </c>
      <c r="S90" s="15" t="inlineStr">
        <is>
          <t>BACKLOG 2/6 · DRAFT — CHƯA DUYỆT · Nguồn ở cột K chỉ là nguồn khởi đầu, chưa thẩm định cấp câu hỏi · VÒNG LẶP ĐA CHUYÊN NGÀNH 2026-08-26: rà an toàn hằng tuần + chuyên sâu tuần tự theo ngày cột P</t>
        </is>
      </c>
    </row>
    <row r="91">
      <c r="A91" s="15" t="inlineStr">
        <is>
          <t>Q-SCORE-03</t>
        </is>
      </c>
      <c r="B91" s="15" t="inlineStr">
        <is>
          <t>PRJ-SCORE</t>
        </is>
      </c>
      <c r="C91" s="15" t="inlineStr">
        <is>
          <t>Mức kiểm soát hen hoặc COPD</t>
        </is>
      </c>
      <c r="D91" s="15" t="inlineStr">
        <is>
          <t>Người bệnh ngoại trú thuộc quần thể mục tiêu của từng công cụ</t>
        </is>
      </c>
      <c r="E91" s="15" t="inlineStr">
        <is>
          <t>CHƯA XÁC LẬP — hoàn thiện PICO khi dự án được kích hoạt</t>
        </is>
      </c>
      <c r="F91" s="15" t="inlineStr">
        <is>
          <t>CHƯA XÁC LẬP — hoàn thiện PICO khi dự án được kích hoạt</t>
        </is>
      </c>
      <c r="G91" s="15" t="inlineStr">
        <is>
          <t>CHƯA XÁC LẬP — hoàn thiện PICO khi dự án được kích hoạt</t>
        </is>
      </c>
      <c r="H91" s="15" t="inlineStr">
        <is>
          <t>Khám ngoại trú; thời gian theo dõi CHƯA XÁC LẬP</t>
        </is>
      </c>
      <c r="I91" s="15" t="inlineStr">
        <is>
          <t>CHƯA KHẢO SÁT — DRAFT — CHƯA DUYỆT</t>
        </is>
      </c>
      <c r="J91" s="15" t="inlineStr">
        <is>
          <t>Danh mục khởi tạo 2026-08-25</t>
        </is>
      </c>
      <c r="K91" s="15" t="inlineStr">
        <is>
          <t>https://www.escardio.org/guidelines/practice-tools/cvd-prevention-toolbox/esc-cvd-risk-calculation-app/ ; https://kdigo.org/guidelines/ckd-evaluation-and-management/ ; https://www.who.int/publications/m/item/primary-care-checklist</t>
        </is>
      </c>
      <c r="L91" s="15" t="inlineStr">
        <is>
          <t>CHƯA GÁN — chỉ gán khi dự án được chọn</t>
        </is>
      </c>
      <c r="M91" s="15" t="inlineStr">
        <is>
          <t>Người dùng — tự phụ trách</t>
        </is>
      </c>
      <c r="N91" s="15" t="inlineStr">
        <is>
          <t>Theo sự kiện</t>
        </is>
      </c>
      <c r="O91" s="15" t="n"/>
      <c r="P91" s="41" t="n">
        <v>46363</v>
      </c>
      <c r="Q91" s="15" t="inlineStr">
        <is>
          <t>Đang thiết lập</t>
        </is>
      </c>
      <c r="R91" s="15" t="inlineStr">
        <is>
          <t>P2</t>
        </is>
      </c>
      <c r="S91" s="15" t="inlineStr">
        <is>
          <t>BACKLOG 3/6 · DRAFT — CHƯA DUYỆT · Nguồn ở cột K chỉ là nguồn khởi đầu, chưa thẩm định cấp câu hỏi · VÒNG LẶP ĐA CHUYÊN NGÀNH 2026-08-26: rà an toàn hằng tuần + chuyên sâu tuần tự theo ngày cột P</t>
        </is>
      </c>
    </row>
    <row r="92">
      <c r="A92" s="15" t="inlineStr">
        <is>
          <t>Q-SCORE-04</t>
        </is>
      </c>
      <c r="B92" s="15" t="inlineStr">
        <is>
          <t>PRJ-SCORE</t>
        </is>
      </c>
      <c r="C92" s="15" t="inlineStr">
        <is>
          <t>Trầm cảm, lo âu và sử dụng chất</t>
        </is>
      </c>
      <c r="D92" s="15" t="inlineStr">
        <is>
          <t>Người bệnh ngoại trú thuộc quần thể mục tiêu của từng công cụ</t>
        </is>
      </c>
      <c r="E92" s="15" t="inlineStr">
        <is>
          <t>CHƯA XÁC LẬP — hoàn thiện PICO khi dự án được kích hoạt</t>
        </is>
      </c>
      <c r="F92" s="15" t="inlineStr">
        <is>
          <t>CHƯA XÁC LẬP — hoàn thiện PICO khi dự án được kích hoạt</t>
        </is>
      </c>
      <c r="G92" s="15" t="inlineStr">
        <is>
          <t>CHƯA XÁC LẬP — hoàn thiện PICO khi dự án được kích hoạt</t>
        </is>
      </c>
      <c r="H92" s="15" t="inlineStr">
        <is>
          <t>Khám ngoại trú; thời gian theo dõi CHƯA XÁC LẬP</t>
        </is>
      </c>
      <c r="I92" s="15" t="inlineStr">
        <is>
          <t>CHƯA KHẢO SÁT — DRAFT — CHƯA DUYỆT</t>
        </is>
      </c>
      <c r="J92" s="15" t="inlineStr">
        <is>
          <t>Danh mục khởi tạo 2026-08-25</t>
        </is>
      </c>
      <c r="K92" s="15" t="inlineStr">
        <is>
          <t>https://www.escardio.org/guidelines/practice-tools/cvd-prevention-toolbox/esc-cvd-risk-calculation-app/ ; https://kdigo.org/guidelines/ckd-evaluation-and-management/ ; https://www.who.int/publications/m/item/primary-care-checklist</t>
        </is>
      </c>
      <c r="L92" s="15" t="inlineStr">
        <is>
          <t>CHƯA GÁN — chỉ gán khi dự án được chọn</t>
        </is>
      </c>
      <c r="M92" s="15" t="inlineStr">
        <is>
          <t>Người dùng — tự phụ trách</t>
        </is>
      </c>
      <c r="N92" s="15" t="inlineStr">
        <is>
          <t>Theo sự kiện</t>
        </is>
      </c>
      <c r="O92" s="15" t="n"/>
      <c r="P92" s="41" t="n">
        <v>46363</v>
      </c>
      <c r="Q92" s="15" t="inlineStr">
        <is>
          <t>Đang thiết lập</t>
        </is>
      </c>
      <c r="R92" s="15" t="inlineStr">
        <is>
          <t>P3</t>
        </is>
      </c>
      <c r="S92" s="15" t="inlineStr">
        <is>
          <t>BACKLOG 4/6 · DRAFT — CHƯA DUYỆT · Nguồn ở cột K chỉ là nguồn khởi đầu, chưa thẩm định cấp câu hỏi · VÒNG LẶP ĐA CHUYÊN NGÀNH 2026-08-26: rà an toàn hằng tuần + chuyên sâu tuần tự theo ngày cột P</t>
        </is>
      </c>
    </row>
    <row r="93">
      <c r="A93" s="15" t="inlineStr">
        <is>
          <t>Q-SCORE-05</t>
        </is>
      </c>
      <c r="B93" s="15" t="inlineStr">
        <is>
          <t>PRJ-SCORE</t>
        </is>
      </c>
      <c r="C93" s="15" t="inlineStr">
        <is>
          <t>Lão khoa: suy yếu, té ngã và dinh dưỡng</t>
        </is>
      </c>
      <c r="D93" s="15" t="inlineStr">
        <is>
          <t>Người bệnh ngoại trú thuộc quần thể mục tiêu của từng công cụ</t>
        </is>
      </c>
      <c r="E93" s="15" t="inlineStr">
        <is>
          <t>CHƯA XÁC LẬP — hoàn thiện PICO khi dự án được kích hoạt</t>
        </is>
      </c>
      <c r="F93" s="15" t="inlineStr">
        <is>
          <t>CHƯA XÁC LẬP — hoàn thiện PICO khi dự án được kích hoạt</t>
        </is>
      </c>
      <c r="G93" s="15" t="inlineStr">
        <is>
          <t>CHƯA XÁC LẬP — hoàn thiện PICO khi dự án được kích hoạt</t>
        </is>
      </c>
      <c r="H93" s="15" t="inlineStr">
        <is>
          <t>Khám ngoại trú; thời gian theo dõi CHƯA XÁC LẬP</t>
        </is>
      </c>
      <c r="I93" s="15" t="inlineStr">
        <is>
          <t>CHƯA KHẢO SÁT — DRAFT — CHƯA DUYỆT</t>
        </is>
      </c>
      <c r="J93" s="15" t="inlineStr">
        <is>
          <t>Danh mục khởi tạo 2026-08-25</t>
        </is>
      </c>
      <c r="K93" s="15" t="inlineStr">
        <is>
          <t>https://www.escardio.org/guidelines/practice-tools/cvd-prevention-toolbox/esc-cvd-risk-calculation-app/ ; https://kdigo.org/guidelines/ckd-evaluation-and-management/ ; https://www.who.int/publications/m/item/primary-care-checklist</t>
        </is>
      </c>
      <c r="L93" s="15" t="inlineStr">
        <is>
          <t>CHƯA GÁN — chỉ gán khi dự án được chọn</t>
        </is>
      </c>
      <c r="M93" s="15" t="inlineStr">
        <is>
          <t>Người dùng — tự phụ trách</t>
        </is>
      </c>
      <c r="N93" s="15" t="inlineStr">
        <is>
          <t>Theo sự kiện</t>
        </is>
      </c>
      <c r="O93" s="15" t="n"/>
      <c r="P93" s="41" t="n">
        <v>46363</v>
      </c>
      <c r="Q93" s="15" t="inlineStr">
        <is>
          <t>Đang thiết lập</t>
        </is>
      </c>
      <c r="R93" s="15" t="inlineStr">
        <is>
          <t>P3</t>
        </is>
      </c>
      <c r="S93" s="15" t="inlineStr">
        <is>
          <t>BACKLOG 5/6 · DRAFT — CHƯA DUYỆT · Nguồn ở cột K chỉ là nguồn khởi đầu, chưa thẩm định cấp câu hỏi · VÒNG LẶP ĐA CHUYÊN NGÀNH 2026-08-26: rà an toàn hằng tuần + chuyên sâu tuần tự theo ngày cột P</t>
        </is>
      </c>
    </row>
    <row r="94">
      <c r="A94" s="15" t="inlineStr">
        <is>
          <t>Q-SCORE-06</t>
        </is>
      </c>
      <c r="B94" s="15" t="inlineStr">
        <is>
          <t>PRJ-SCORE</t>
        </is>
      </c>
      <c r="C94" s="15" t="inlineStr">
        <is>
          <t>Công cụ phân loại cấp cứu, nhiễm trùng và huyết khối</t>
        </is>
      </c>
      <c r="D94" s="15" t="inlineStr">
        <is>
          <t>Người bệnh ngoại trú thuộc quần thể mục tiêu của từng công cụ</t>
        </is>
      </c>
      <c r="E94" s="15" t="inlineStr">
        <is>
          <t>CHƯA XÁC LẬP — hoàn thiện PICO khi dự án được kích hoạt</t>
        </is>
      </c>
      <c r="F94" s="15" t="inlineStr">
        <is>
          <t>CHƯA XÁC LẬP — hoàn thiện PICO khi dự án được kích hoạt</t>
        </is>
      </c>
      <c r="G94" s="15" t="inlineStr">
        <is>
          <t>CHƯA XÁC LẬP — hoàn thiện PICO khi dự án được kích hoạt</t>
        </is>
      </c>
      <c r="H94" s="15" t="inlineStr">
        <is>
          <t>Khám ngoại trú; thời gian theo dõi CHƯA XÁC LẬP</t>
        </is>
      </c>
      <c r="I94" s="15" t="inlineStr">
        <is>
          <t>CHƯA KHẢO SÁT — DRAFT — CHƯA DUYỆT</t>
        </is>
      </c>
      <c r="J94" s="15" t="inlineStr">
        <is>
          <t>Danh mục khởi tạo 2026-08-25</t>
        </is>
      </c>
      <c r="K94" s="15" t="inlineStr">
        <is>
          <t>https://www.escardio.org/guidelines/practice-tools/cvd-prevention-toolbox/esc-cvd-risk-calculation-app/ ; https://kdigo.org/guidelines/ckd-evaluation-and-management/ ; https://www.who.int/publications/m/item/primary-care-checklist</t>
        </is>
      </c>
      <c r="L94" s="15" t="inlineStr">
        <is>
          <t>CHƯA GÁN — chỉ gán khi dự án được chọn</t>
        </is>
      </c>
      <c r="M94" s="15" t="inlineStr">
        <is>
          <t>Người dùng — tự phụ trách</t>
        </is>
      </c>
      <c r="N94" s="15" t="inlineStr">
        <is>
          <t>Theo sự kiện</t>
        </is>
      </c>
      <c r="O94" s="15" t="n"/>
      <c r="P94" s="41" t="n">
        <v>46363</v>
      </c>
      <c r="Q94" s="15" t="inlineStr">
        <is>
          <t>Đang thiết lập</t>
        </is>
      </c>
      <c r="R94" s="15" t="inlineStr">
        <is>
          <t>P3</t>
        </is>
      </c>
      <c r="S94" s="15" t="inlineStr">
        <is>
          <t>BACKLOG 6/6 · DRAFT — CHƯA DUYỆT · Nguồn ở cột K chỉ là nguồn khởi đầu, chưa thẩm định cấp câu hỏi · VÒNG LẶP ĐA CHUYÊN NGÀNH 2026-08-26: rà an toàn hằng tuần + chuyên sâu tuần tự theo ngày cột P</t>
        </is>
      </c>
    </row>
    <row r="95">
      <c r="A95" s="15" t="n"/>
      <c r="B95" s="15" t="n"/>
      <c r="C95" s="15" t="n"/>
      <c r="D95" s="15" t="n"/>
      <c r="E95" s="15" t="n"/>
      <c r="F95" s="15" t="n"/>
      <c r="G95" s="15" t="n"/>
      <c r="H95" s="15" t="n"/>
      <c r="I95" s="15" t="n"/>
      <c r="J95" s="15" t="n"/>
      <c r="K95" s="15" t="n"/>
      <c r="L95" s="15" t="n"/>
      <c r="M95" s="15" t="n"/>
      <c r="N95" s="15" t="n"/>
      <c r="O95" s="15" t="n"/>
      <c r="P95" s="15" t="n"/>
      <c r="Q95" s="15" t="n"/>
      <c r="R95" s="15" t="n"/>
      <c r="S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n"/>
    </row>
  </sheetData>
  <mergeCells count="2">
    <mergeCell ref="A2:S2"/>
    <mergeCell ref="A1:S1"/>
  </mergeCells>
  <conditionalFormatting sqref="P5:P500">
    <cfRule type="expression" priority="1" dxfId="1">
      <formula>AND($P5&lt;TODAY(),$P5&lt;&gt;"",$Q5&lt;&gt;"Đã đóng")</formula>
    </cfRule>
  </conditionalFormatting>
  <dataValidations count="3">
    <dataValidation sqref="N5:N500" showDropDown="0" showInputMessage="0" showErrorMessage="0" allowBlank="1" errorTitle="Giá trị không hợp lệ" error="Vui lòng chọn một giá trị trong danh sách." promptTitle="Trường chuẩn hóa" prompt="Chọn từ danh sách." type="list">
      <formula1>=Cadence</formula1>
    </dataValidation>
    <dataValidation sqref="Q5:Q500" showDropDown="0" showInputMessage="0" showErrorMessage="0" allowBlank="1" errorTitle="Giá trị không hợp lệ" error="Vui lòng chọn một giá trị trong danh sách." promptTitle="Trường chuẩn hóa" prompt="Chọn từ danh sách." type="list">
      <formula1>=StatusProject</formula1>
    </dataValidation>
    <dataValidation sqref="R5:R500" showDropDown="0" showInputMessage="0" showErrorMessage="0" allowBlank="1" errorTitle="Giá trị không hợp lệ" error="Vui lòng chọn một giá trị trong danh sách." promptTitle="Trường chuẩn hóa" prompt="Chọn từ danh sách." type="list">
      <formula1>=Priority</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P104"/>
  <sheetViews>
    <sheetView showGridLines="0" workbookViewId="0">
      <pane ySplit="4" topLeftCell="A5" activePane="bottomLeft" state="frozen"/>
      <selection pane="bottomLeft" activeCell="A1" sqref="A1"/>
    </sheetView>
  </sheetViews>
  <sheetFormatPr baseColWidth="8" defaultRowHeight="15"/>
  <cols>
    <col width="13" customWidth="1" min="1" max="1"/>
    <col width="13" customWidth="1" min="2" max="2"/>
    <col width="14" customWidth="1" min="3" max="3"/>
    <col width="36" customWidth="1" min="4" max="4"/>
    <col width="21" customWidth="1" min="5" max="5"/>
    <col width="30" customWidth="1" min="6" max="6"/>
    <col width="42" customWidth="1" min="7" max="7"/>
    <col width="18" customWidth="1" min="8" max="8"/>
    <col width="18" customWidth="1" min="9" max="9"/>
    <col width="16" customWidth="1" min="10" max="10"/>
    <col width="24" customWidth="1" min="11" max="11"/>
    <col width="14" customWidth="1" min="12" max="12"/>
    <col width="22" customWidth="1" min="13" max="13"/>
    <col width="17" customWidth="1" min="14" max="14"/>
    <col width="13" customWidth="1" min="15" max="15"/>
    <col width="35" customWidth="1" min="16" max="16"/>
  </cols>
  <sheetData>
    <row r="1" ht="28" customHeight="1">
      <c r="A1" s="1" t="inlineStr">
        <is>
          <t>SOURCE REGISTRY</t>
        </is>
      </c>
    </row>
    <row r="2" ht="34" customHeight="1">
      <c r="A2" s="2" t="inlineStr">
        <is>
          <t>Đăng ký nguồn chính thức, chiến lược phát hiện và tần suất kiểm tra. Ghi ngày truy cập và phiên bản để có thể audit.</t>
        </is>
      </c>
    </row>
    <row r="4" ht="38" customHeight="1">
      <c r="A4" s="3" t="inlineStr">
        <is>
          <t>Mã nguồn</t>
        </is>
      </c>
      <c r="B4" s="3" t="inlineStr">
        <is>
          <t>Mã dự án</t>
        </is>
      </c>
      <c r="C4" s="3" t="inlineStr">
        <is>
          <t>Mã câu hỏi</t>
        </is>
      </c>
      <c r="D4" s="3" t="inlineStr">
        <is>
          <t>Tên nguồn</t>
        </is>
      </c>
      <c r="E4" s="3" t="inlineStr">
        <is>
          <t>Loại nguồn</t>
        </is>
      </c>
      <c r="F4" s="3" t="inlineStr">
        <is>
          <t>Tổ chức/tạp chí</t>
        </is>
      </c>
      <c r="G4" s="3" t="inlineStr">
        <is>
          <t>URL chính thức</t>
        </is>
      </c>
      <c r="H4" s="3" t="inlineStr">
        <is>
          <t>Phiên bản</t>
        </is>
      </c>
      <c r="I4" s="3" t="inlineStr">
        <is>
          <t>Ngày ban hành/cập nhật</t>
        </is>
      </c>
      <c r="J4" s="3" t="inlineStr">
        <is>
          <t>Ngày truy cập</t>
        </is>
      </c>
      <c r="K4" s="3" t="inlineStr">
        <is>
          <t>DOI</t>
        </is>
      </c>
      <c r="L4" s="3" t="inlineStr">
        <is>
          <t>PMID</t>
        </is>
      </c>
      <c r="M4" s="3" t="inlineStr">
        <is>
          <t>Kênh alert</t>
        </is>
      </c>
      <c r="N4" s="3" t="inlineStr">
        <is>
          <t>Nhịp kiểm tra</t>
        </is>
      </c>
      <c r="O4" s="3" t="inlineStr">
        <is>
          <t>Đang dùng</t>
        </is>
      </c>
      <c r="P4" s="3" t="inlineStr">
        <is>
          <t>Ghi chú</t>
        </is>
      </c>
    </row>
    <row r="5">
      <c r="A5" s="15" t="inlineStr">
        <is>
          <t>SRC-CARD-2026-001</t>
        </is>
      </c>
      <c r="B5" s="15" t="inlineStr">
        <is>
          <t>PRJ-CARD</t>
        </is>
      </c>
      <c r="C5" s="15" t="inlineStr">
        <is>
          <t>Q-CARD-01</t>
        </is>
      </c>
      <c r="D5" s="15" t="inlineStr">
        <is>
          <t>2024 ESC Guidelines for the management of elevated blood pressure and hypertension</t>
        </is>
      </c>
      <c r="E5" s="15" t="inlineStr">
        <is>
          <t>Guideline</t>
        </is>
      </c>
      <c r="F5" s="15" t="inlineStr">
        <is>
          <t>European Society of Cardiology</t>
        </is>
      </c>
      <c r="G5" s="15" t="inlineStr">
        <is>
          <t>https://www.escardio.org/guidelines/clinical-practice-guidelines/all-esc-practice-guidelines/elevated-blood-pressure-and-hypertension/</t>
        </is>
      </c>
      <c r="H5" s="15" t="inlineStr">
        <is>
          <t>2024 ESC Elevated Blood Pressure and Hypertension; corrigendum 11/02/2025; truy cập 31/08/2026</t>
        </is>
      </c>
      <c r="I5" s="41" t="n">
        <v>45534</v>
      </c>
      <c r="J5" s="41" t="n">
        <v>46265</v>
      </c>
      <c r="K5" s="15" t="inlineStr">
        <is>
          <t>10.1093/eurheartj/ehae178</t>
        </is>
      </c>
      <c r="L5" s="15" t="inlineStr">
        <is>
          <t>39210715</t>
        </is>
      </c>
      <c r="M5" s="15" t="inlineStr">
        <is>
          <t>ESC guideline alert</t>
        </is>
      </c>
      <c r="N5" s="15" t="inlineStr">
        <is>
          <t>Theo sự kiện</t>
        </is>
      </c>
      <c r="O5" s="15" t="inlineStr">
        <is>
          <t>Có</t>
        </is>
      </c>
      <c r="P5" s="15" t="inlineStr">
        <is>
          <t>DRAFT — CHƯA DUYỆT · metadata DOI/PMID và trang chính thức đã kiểm; cần hiệu chỉnh bối cảnh Việt Nam.</t>
        </is>
      </c>
    </row>
    <row r="6">
      <c r="A6" s="15" t="inlineStr">
        <is>
          <t>SRC-CARD-2026-002</t>
        </is>
      </c>
      <c r="B6" s="15" t="inlineStr">
        <is>
          <t>PRJ-CARD</t>
        </is>
      </c>
      <c r="C6" s="15" t="inlineStr">
        <is>
          <t>Q-CARD-02</t>
        </is>
      </c>
      <c r="D6" s="15" t="inlineStr">
        <is>
          <t>2025 Focused Update of the 2019 ESC/EAS Guidelines for dyslipidaemias</t>
        </is>
      </c>
      <c r="E6" s="15" t="inlineStr">
        <is>
          <t>Guideline</t>
        </is>
      </c>
      <c r="F6" s="15" t="inlineStr">
        <is>
          <t>European Society of Cardiology</t>
        </is>
      </c>
      <c r="G6" s="15" t="inlineStr">
        <is>
          <t>https://www.escardio.org/news/news-room/congress-news/2025-focused-update-dyslipidaemias/</t>
        </is>
      </c>
      <c r="H6" s="15" t="inlineStr">
        <is>
          <t>2025 Focused Update of 2019 ESC/EAS Dyslipidaemias Guidelines; truy cập 31/08/2026</t>
        </is>
      </c>
      <c r="I6" s="41" t="n">
        <v>45898</v>
      </c>
      <c r="J6" s="41" t="n">
        <v>46265</v>
      </c>
      <c r="K6" s="15" t="inlineStr">
        <is>
          <t>10.1093/eurheartj/ehaf190</t>
        </is>
      </c>
      <c r="L6" s="15" t="inlineStr">
        <is>
          <t>40878289</t>
        </is>
      </c>
      <c r="M6" s="15" t="inlineStr">
        <is>
          <t>ESC guideline alert</t>
        </is>
      </c>
      <c r="N6" s="15" t="inlineStr">
        <is>
          <t>Theo sự kiện</t>
        </is>
      </c>
      <c r="O6" s="15" t="inlineStr">
        <is>
          <t>Có</t>
        </is>
      </c>
      <c r="P6" s="15" t="inlineStr">
        <is>
          <t>DRAFT — CHƯA DUYỆT · metadata DOI/PMID và trang chính thức đã kiểm; cần hiệu chỉnh bối cảnh Việt Nam.</t>
        </is>
      </c>
    </row>
    <row r="7">
      <c r="A7" s="15" t="inlineStr">
        <is>
          <t>SRC-CARD-2026-003</t>
        </is>
      </c>
      <c r="B7" s="15" t="inlineStr">
        <is>
          <t>PRJ-CARD</t>
        </is>
      </c>
      <c r="C7" s="15" t="inlineStr">
        <is>
          <t>Q-CARD-03</t>
        </is>
      </c>
      <c r="D7" s="15" t="inlineStr">
        <is>
          <t>2024 ESC Guidelines for the management of atrial fibrillation</t>
        </is>
      </c>
      <c r="E7" s="15" t="inlineStr">
        <is>
          <t>Guideline</t>
        </is>
      </c>
      <c r="F7" s="15" t="inlineStr">
        <is>
          <t>European Society of Cardiology</t>
        </is>
      </c>
      <c r="G7" s="15" t="inlineStr">
        <is>
          <t>https://www.escardio.org/guidelines/clinical-practice-guidelines/all-esc-practice-guidelines/atrial-fibrillation/</t>
        </is>
      </c>
      <c r="H7" s="15" t="inlineStr">
        <is>
          <t>2024 ESC Guidelines for atrial fibrillation; truy cập 31/08/2026</t>
        </is>
      </c>
      <c r="I7" s="41" t="n">
        <v>45534</v>
      </c>
      <c r="J7" s="41" t="n">
        <v>46265</v>
      </c>
      <c r="K7" s="15" t="inlineStr">
        <is>
          <t>10.1093/eurheartj/ehae176</t>
        </is>
      </c>
      <c r="L7" s="15" t="inlineStr">
        <is>
          <t>39210723</t>
        </is>
      </c>
      <c r="M7" s="15" t="inlineStr">
        <is>
          <t>ESC guideline alert</t>
        </is>
      </c>
      <c r="N7" s="15" t="inlineStr">
        <is>
          <t>Theo sự kiện</t>
        </is>
      </c>
      <c r="O7" s="15" t="inlineStr">
        <is>
          <t>Có</t>
        </is>
      </c>
      <c r="P7" s="15" t="inlineStr">
        <is>
          <t>DRAFT — CHƯA DUYỆT · metadata DOI/PMID và trang chính thức đã kiểm; cần hiệu chỉnh bối cảnh Việt Nam.</t>
        </is>
      </c>
    </row>
    <row r="8">
      <c r="A8" s="15" t="inlineStr">
        <is>
          <t>SRC-CARD-2026-004</t>
        </is>
      </c>
      <c r="B8" s="15" t="inlineStr">
        <is>
          <t>PRJ-CARD</t>
        </is>
      </c>
      <c r="C8" s="15" t="inlineStr">
        <is>
          <t>Q-CARD-04</t>
        </is>
      </c>
      <c r="D8" s="15" t="inlineStr">
        <is>
          <t>2024 ESC Guidelines for the management of chronic coronary syndromes</t>
        </is>
      </c>
      <c r="E8" s="15" t="inlineStr">
        <is>
          <t>Guideline</t>
        </is>
      </c>
      <c r="F8" s="15" t="inlineStr">
        <is>
          <t>European Society of Cardiology</t>
        </is>
      </c>
      <c r="G8" s="15" t="inlineStr">
        <is>
          <t>https://www.escardio.org/guidelines/clinical-practice-guidelines/all-esc-practice-guidelines/chronic-coronary-syndromes/</t>
        </is>
      </c>
      <c r="H8" s="15" t="inlineStr">
        <is>
          <t>2024 ESC Chronic Coronary Syndromes Guidelines; truy cập 31/08/2026</t>
        </is>
      </c>
      <c r="I8" s="41" t="n">
        <v>45534</v>
      </c>
      <c r="J8" s="41" t="n">
        <v>46265</v>
      </c>
      <c r="K8" s="15" t="inlineStr">
        <is>
          <t>10.1093/eurheartj/ehae177</t>
        </is>
      </c>
      <c r="L8" s="15" t="inlineStr">
        <is>
          <t>39210710</t>
        </is>
      </c>
      <c r="M8" s="15" t="inlineStr">
        <is>
          <t>ESC guideline alert</t>
        </is>
      </c>
      <c r="N8" s="15" t="inlineStr">
        <is>
          <t>Theo sự kiện</t>
        </is>
      </c>
      <c r="O8" s="15" t="inlineStr">
        <is>
          <t>Có</t>
        </is>
      </c>
      <c r="P8" s="15" t="inlineStr">
        <is>
          <t>DRAFT — CHƯA DUYỆT · metadata DOI/PMID và trang chính thức đã kiểm; cần hiệu chỉnh bối cảnh Việt Nam.</t>
        </is>
      </c>
    </row>
    <row r="9">
      <c r="A9" s="15" t="inlineStr">
        <is>
          <t>SRC-CARD-2026-005</t>
        </is>
      </c>
      <c r="B9" s="15" t="inlineStr">
        <is>
          <t>PRJ-CARD</t>
        </is>
      </c>
      <c r="C9" s="15" t="inlineStr">
        <is>
          <t>Q-CARD-05</t>
        </is>
      </c>
      <c r="D9" s="15" t="inlineStr">
        <is>
          <t>2023 Focused Update of the 2021 ESC Guidelines for heart failure</t>
        </is>
      </c>
      <c r="E9" s="15" t="inlineStr">
        <is>
          <t>Guideline</t>
        </is>
      </c>
      <c r="F9" s="15" t="inlineStr">
        <is>
          <t>European Society of Cardiology</t>
        </is>
      </c>
      <c r="G9" s="15" t="inlineStr">
        <is>
          <t>https://www.escardio.org/guidelines/clinical-practice-guidelines/all-esc-practice-guidelines/focused-update-on-heart-failure/</t>
        </is>
      </c>
      <c r="H9" s="15" t="inlineStr">
        <is>
          <t>2021 ESC Heart Failure Guidelines + 2023 Focused Update; truy cập 31/08/2026</t>
        </is>
      </c>
      <c r="I9" s="41" t="n">
        <v>45163</v>
      </c>
      <c r="J9" s="41" t="n">
        <v>46265</v>
      </c>
      <c r="K9" s="15" t="inlineStr">
        <is>
          <t>10.1093/eurheartj/ehad195</t>
        </is>
      </c>
      <c r="L9" s="15" t="inlineStr">
        <is>
          <t>37622666</t>
        </is>
      </c>
      <c r="M9" s="15" t="inlineStr">
        <is>
          <t>ESC guideline alert</t>
        </is>
      </c>
      <c r="N9" s="15" t="inlineStr">
        <is>
          <t>Theo sự kiện</t>
        </is>
      </c>
      <c r="O9" s="15" t="inlineStr">
        <is>
          <t>Có</t>
        </is>
      </c>
      <c r="P9" s="15" t="inlineStr">
        <is>
          <t>DRAFT — CHƯA DUYỆT · metadata DOI/PMID và trang chính thức đã kiểm; cần hiệu chỉnh bối cảnh Việt Nam.</t>
        </is>
      </c>
    </row>
    <row r="10">
      <c r="A10" s="15" t="inlineStr">
        <is>
          <t>SRC-CARD-2026-006</t>
        </is>
      </c>
      <c r="B10" s="15" t="inlineStr">
        <is>
          <t>PRJ-CARD</t>
        </is>
      </c>
      <c r="C10" s="15" t="inlineStr">
        <is>
          <t>Q-CARD-06</t>
        </is>
      </c>
      <c r="D10" s="15" t="inlineStr">
        <is>
          <t>2018 ESC Guidelines for the diagnosis and management of syncope</t>
        </is>
      </c>
      <c r="E10" s="15" t="inlineStr">
        <is>
          <t>Guideline</t>
        </is>
      </c>
      <c r="F10" s="15" t="inlineStr">
        <is>
          <t>European Society of Cardiology</t>
        </is>
      </c>
      <c r="G10" s="15" t="inlineStr">
        <is>
          <t>https://www.escardio.org/guidelines/clinical-practice-guidelines/pocket-guidelines/diagnosis-and-management-of-syncope/</t>
        </is>
      </c>
      <c r="H10" s="15" t="inlineStr">
        <is>
          <t>2018 ESC Guidelines for syncope; kiểm tra lịch xuất bản ESC ngày 31/08/2026</t>
        </is>
      </c>
      <c r="I10" s="41" t="n">
        <v>43178</v>
      </c>
      <c r="J10" s="41" t="n">
        <v>46265</v>
      </c>
      <c r="K10" s="15" t="inlineStr">
        <is>
          <t>10.1093/eurheartj/ehy037</t>
        </is>
      </c>
      <c r="L10" s="15" t="inlineStr">
        <is>
          <t>29562304</t>
        </is>
      </c>
      <c r="M10" s="15" t="inlineStr">
        <is>
          <t>ESC guideline alert</t>
        </is>
      </c>
      <c r="N10" s="15" t="inlineStr">
        <is>
          <t>Theo sự kiện</t>
        </is>
      </c>
      <c r="O10" s="15" t="inlineStr">
        <is>
          <t>Có</t>
        </is>
      </c>
      <c r="P10" s="15" t="inlineStr">
        <is>
          <t>DRAFT — CHƯA DUYỆT · metadata DOI/PMID và trang chính thức đã kiểm; cần hiệu chỉnh bối cảnh Việt Nam.</t>
        </is>
      </c>
    </row>
    <row r="11">
      <c r="A11" s="15" t="inlineStr">
        <is>
          <t>SRC-CARD-2026-007</t>
        </is>
      </c>
      <c r="B11" s="15" t="inlineStr">
        <is>
          <t>PRJ-CARD</t>
        </is>
      </c>
      <c r="C11" s="15" t="inlineStr">
        <is>
          <t>Q-CARD-05</t>
        </is>
      </c>
      <c r="D11" s="15" t="inlineStr">
        <is>
          <t>2021 ESC Guidelines for the diagnosis and treatment of acute and chronic heart failure</t>
        </is>
      </c>
      <c r="E11" s="15" t="inlineStr">
        <is>
          <t>Guideline</t>
        </is>
      </c>
      <c r="F11" s="15" t="inlineStr">
        <is>
          <t>European Society of Cardiology</t>
        </is>
      </c>
      <c r="G11" s="15" t="inlineStr">
        <is>
          <t>https://www.escardio.org/Guidelines/Clinical-Practice-Guidelines/Acute-and-Chronic-Heart-Failure</t>
        </is>
      </c>
      <c r="H11" s="15" t="inlineStr">
        <is>
          <t>2021 ESC Heart Failure Guidelines; dùng kèm 2023 Focused Update</t>
        </is>
      </c>
      <c r="I11" s="41" t="n">
        <v>44435</v>
      </c>
      <c r="J11" s="41" t="n">
        <v>46265</v>
      </c>
      <c r="K11" s="15" t="inlineStr">
        <is>
          <t>10.1093/eurheartj/ehab368</t>
        </is>
      </c>
      <c r="L11" s="15" t="inlineStr">
        <is>
          <t>34447992</t>
        </is>
      </c>
      <c r="M11" s="15" t="inlineStr">
        <is>
          <t>ESC guideline alert</t>
        </is>
      </c>
      <c r="N11" s="15" t="inlineStr">
        <is>
          <t>Theo sự kiện</t>
        </is>
      </c>
      <c r="O11" s="15" t="inlineStr">
        <is>
          <t>Có</t>
        </is>
      </c>
      <c r="P11" s="15" t="inlineStr">
        <is>
          <t>DRAFT — CHƯA DUYỆT · nguồn nền; không thay thế focused update 2023.</t>
        </is>
      </c>
    </row>
    <row r="12">
      <c r="A12" s="15" t="inlineStr">
        <is>
          <t>SRC-CARD-2026-008</t>
        </is>
      </c>
      <c r="B12" s="15" t="inlineStr">
        <is>
          <t>PRJ-CARD</t>
        </is>
      </c>
      <c r="C12" s="15" t="inlineStr">
        <is>
          <t>Q-CARD-05</t>
        </is>
      </c>
      <c r="D12" s="15" t="inlineStr">
        <is>
          <t>2026 ESC Guidelines for the management of heart failure</t>
        </is>
      </c>
      <c r="E12" s="15" t="inlineStr">
        <is>
          <t>Guideline</t>
        </is>
      </c>
      <c r="F12" s="15" t="inlineStr">
        <is>
          <t>European Society of Cardiology</t>
        </is>
      </c>
      <c r="G12" s="15" t="inlineStr">
        <is>
          <t>https://www.escardio.org/guidelines/clinical-practice-guidelines/all-esc-practice-guidelines/heart-failure/</t>
        </is>
      </c>
      <c r="H12" s="15" t="inlineStr">
        <is>
          <t>2026 ESC Heart Failure; phát hành 28/08/2026; truy cập 01/09/2026</t>
        </is>
      </c>
      <c r="I12" s="42" t="n">
        <v>46262</v>
      </c>
      <c r="J12" s="42" t="n">
        <v>46266</v>
      </c>
      <c r="K12" s="15" t="inlineStr">
        <is>
          <t>10.1093/eurheartj/ehag100</t>
        </is>
      </c>
      <c r="L12" s="15" t="inlineStr">
        <is>
          <t>Chưa thấy chỉ mục 01/09/2026</t>
        </is>
      </c>
      <c r="M12" s="15" t="inlineStr">
        <is>
          <t>ESC guideline alert</t>
        </is>
      </c>
      <c r="N12" s="15" t="inlineStr">
        <is>
          <t>Theo sự kiện</t>
        </is>
      </c>
      <c r="O12" s="15" t="inlineStr">
        <is>
          <t>Có</t>
        </is>
      </c>
      <c r="P12" s="15" t="inlineStr">
        <is>
          <t>DRAFT — CHƯA DUYỆT · nguồn mới nhất đã xác minh; chưa hoàn tất thẩm định kết cục, an toàn và bối cảnh Việt Nam.</t>
        </is>
      </c>
    </row>
    <row r="13">
      <c r="A13" s="15" t="inlineStr">
        <is>
          <t>SRC-ENDO-2026-001</t>
        </is>
      </c>
      <c r="B13" s="15" t="inlineStr">
        <is>
          <t>PRJ-ENDO</t>
        </is>
      </c>
      <c r="C13" s="15" t="inlineStr">
        <is>
          <t>Q-ENDO-01</t>
        </is>
      </c>
      <c r="D13" s="15" t="inlineStr">
        <is>
          <t>2. Diagnosis and Classification of Diabetes: Standards of Care in Diabetes—2026</t>
        </is>
      </c>
      <c r="E13" s="15" t="inlineStr">
        <is>
          <t>Guideline</t>
        </is>
      </c>
      <c r="F13" s="15" t="inlineStr">
        <is>
          <t>American Diabetes Association</t>
        </is>
      </c>
      <c r="G13" s="15" t="inlineStr">
        <is>
          <t>https://diabetesjournals.org/care/article/49/Supplement_1/S27/163926/2-Diagnosis-and-Classification-of-Diabetes</t>
        </is>
      </c>
      <c r="H13" s="15" t="inlineStr">
        <is>
          <t>2026</t>
        </is>
      </c>
      <c r="I13" s="43" t="n">
        <v>46023</v>
      </c>
      <c r="J13" s="43" t="n">
        <v>46272</v>
      </c>
      <c r="K13" s="15" t="inlineStr">
        <is>
          <t>10.2337/dc26-S002</t>
        </is>
      </c>
      <c r="L13" s="15" t="inlineStr">
        <is>
          <t>41358893</t>
        </is>
      </c>
      <c r="M13" s="15" t="inlineStr">
        <is>
          <t>Rà thủ công + nguồn chính thức</t>
        </is>
      </c>
      <c r="N13" s="15" t="inlineStr">
        <is>
          <t>15 tuần</t>
        </is>
      </c>
      <c r="O13" s="15" t="inlineStr">
        <is>
          <t>Có</t>
        </is>
      </c>
      <c r="P13" s="15" t="inlineStr">
        <is>
          <t>DRAFT — CHƯA DUYỆT. Tiêu chuẩn chẩn đoán; xác nhận; giới hạn HbA1c/CGM.</t>
        </is>
      </c>
    </row>
    <row r="14">
      <c r="A14" s="15" t="inlineStr">
        <is>
          <t>SRC-ENDO-2026-002</t>
        </is>
      </c>
      <c r="B14" s="15" t="inlineStr">
        <is>
          <t>PRJ-ENDO</t>
        </is>
      </c>
      <c r="C14" s="15" t="inlineStr">
        <is>
          <t>Q-ENDO-01</t>
        </is>
      </c>
      <c r="D14" s="15" t="inlineStr">
        <is>
          <t>3. Prevention or Delay of Diabetes and Associated Comorbidities: Standards of Care in Diabetes—2026</t>
        </is>
      </c>
      <c r="E14" s="15" t="inlineStr">
        <is>
          <t>Guideline</t>
        </is>
      </c>
      <c r="F14" s="15" t="inlineStr">
        <is>
          <t>American Diabetes Association</t>
        </is>
      </c>
      <c r="G14" s="15" t="inlineStr">
        <is>
          <t>https://diabetesjournals.org/care/article/49/Supplement_1/S44/163924/3-Prevention-or-Delay-of-Diabetes-and-Associated</t>
        </is>
      </c>
      <c r="H14" s="15" t="inlineStr">
        <is>
          <t>2026</t>
        </is>
      </c>
      <c r="I14" s="43" t="n">
        <v>46023</v>
      </c>
      <c r="J14" s="43" t="n">
        <v>46272</v>
      </c>
      <c r="K14" s="15" t="inlineStr">
        <is>
          <t>10.2337/dc26-S003</t>
        </is>
      </c>
      <c r="L14" s="15" t="inlineStr">
        <is>
          <t>41358891</t>
        </is>
      </c>
      <c r="M14" s="15" t="inlineStr">
        <is>
          <t>Rà thủ công + nguồn chính thức</t>
        </is>
      </c>
      <c r="N14" s="15" t="inlineStr">
        <is>
          <t>15 tuần</t>
        </is>
      </c>
      <c r="O14" s="15" t="inlineStr">
        <is>
          <t>Có</t>
        </is>
      </c>
      <c r="P14" s="15" t="inlineStr">
        <is>
          <t>DRAFT — CHƯA DUYỆT. Dự phòng đái tháo đường ở nhóm nguy cơ cao.</t>
        </is>
      </c>
    </row>
    <row r="15">
      <c r="A15" s="15" t="inlineStr">
        <is>
          <t>SRC-ENDO-2026-003</t>
        </is>
      </c>
      <c r="B15" s="15" t="inlineStr">
        <is>
          <t>PRJ-ENDO</t>
        </is>
      </c>
      <c r="C15" s="15" t="inlineStr">
        <is>
          <t>Q-ENDO-01</t>
        </is>
      </c>
      <c r="D15" s="15" t="inlineStr">
        <is>
          <t>Reduction in the incidence of type 2 diabetes with lifestyle intervention or metformin</t>
        </is>
      </c>
      <c r="E15" s="15" t="inlineStr">
        <is>
          <t>RCT</t>
        </is>
      </c>
      <c r="F15" s="15" t="inlineStr">
        <is>
          <t>New England Journal of Medicine</t>
        </is>
      </c>
      <c r="G15" s="15" t="inlineStr">
        <is>
          <t>https://pubmed.ncbi.nlm.nih.gov/11832527/</t>
        </is>
      </c>
      <c r="H15" s="15" t="inlineStr">
        <is>
          <t>2002</t>
        </is>
      </c>
      <c r="I15" s="43" t="n">
        <v>37294</v>
      </c>
      <c r="J15" s="43" t="n">
        <v>46272</v>
      </c>
      <c r="K15" s="15" t="inlineStr">
        <is>
          <t>10.1056/NEJMoa012512</t>
        </is>
      </c>
      <c r="L15" s="15" t="inlineStr">
        <is>
          <t>11832527</t>
        </is>
      </c>
      <c r="M15" s="15" t="inlineStr">
        <is>
          <t>Rà thủ công + nguồn chính thức</t>
        </is>
      </c>
      <c r="N15" s="15" t="inlineStr">
        <is>
          <t>15 tuần</t>
        </is>
      </c>
      <c r="O15" s="15" t="inlineStr">
        <is>
          <t>Có</t>
        </is>
      </c>
      <c r="P15" s="15" t="inlineStr">
        <is>
          <t>DRAFT — CHƯA DUYỆT. DPP; hiệu quả tương đối và NNT 3 năm ở quần thể nghiên cứu.</t>
        </is>
      </c>
    </row>
    <row r="16">
      <c r="A16" s="15" t="inlineStr">
        <is>
          <t>SRC-ENDO-2026-004</t>
        </is>
      </c>
      <c r="B16" s="15" t="inlineStr">
        <is>
          <t>PRJ-ENDO</t>
        </is>
      </c>
      <c r="C16" s="15" t="inlineStr">
        <is>
          <t>Q-ENDO-02; Q-ENDO-06</t>
        </is>
      </c>
      <c r="D16" s="15" t="inlineStr">
        <is>
          <t>6. Glycemic Goals, Hypoglycemia, and Hyperglycemic Crises: Standards of Care in Diabetes—2026</t>
        </is>
      </c>
      <c r="E16" s="15" t="inlineStr">
        <is>
          <t>Guideline</t>
        </is>
      </c>
      <c r="F16" s="15" t="inlineStr">
        <is>
          <t>American Diabetes Association</t>
        </is>
      </c>
      <c r="G16" s="15" t="inlineStr">
        <is>
          <t>https://diabetesjournals.org/care/article/49/Supplement_1/S132/163927/6-Glycemic-Goals-Hypoglycemia-and-Hyperglycemic</t>
        </is>
      </c>
      <c r="H16" s="15" t="inlineStr">
        <is>
          <t>2026</t>
        </is>
      </c>
      <c r="I16" s="43" t="n">
        <v>46023</v>
      </c>
      <c r="J16" s="43" t="n">
        <v>46272</v>
      </c>
      <c r="K16" s="15" t="inlineStr">
        <is>
          <t>10.2337/dc26-S006</t>
        </is>
      </c>
      <c r="L16" s="15" t="inlineStr">
        <is>
          <t>41358894</t>
        </is>
      </c>
      <c r="M16" s="15" t="inlineStr">
        <is>
          <t>Rà thủ công + nguồn chính thức</t>
        </is>
      </c>
      <c r="N16" s="15" t="inlineStr">
        <is>
          <t>15 tuần</t>
        </is>
      </c>
      <c r="O16" s="15" t="inlineStr">
        <is>
          <t>Có</t>
        </is>
      </c>
      <c r="P16" s="15" t="inlineStr">
        <is>
          <t>DRAFT — CHƯA DUYỆT. Mục tiêu cá thể hóa; hạ đường huyết; ngày ốm và khủng hoảng tăng đường huyết.</t>
        </is>
      </c>
    </row>
    <row r="17">
      <c r="A17" s="15" t="inlineStr">
        <is>
          <t>SRC-ENDO-2026-005</t>
        </is>
      </c>
      <c r="B17" s="15" t="inlineStr">
        <is>
          <t>PRJ-ENDO</t>
        </is>
      </c>
      <c r="C17" s="15" t="inlineStr">
        <is>
          <t>Q-ENDO-02</t>
        </is>
      </c>
      <c r="D17" s="15" t="inlineStr">
        <is>
          <t>9. Pharmacologic Approaches to Glycemic Treatment: Standards of Care in Diabetes—2026</t>
        </is>
      </c>
      <c r="E17" s="15" t="inlineStr">
        <is>
          <t>Guideline</t>
        </is>
      </c>
      <c r="F17" s="15" t="inlineStr">
        <is>
          <t>American Diabetes Association</t>
        </is>
      </c>
      <c r="G17" s="15" t="inlineStr">
        <is>
          <t>https://diabetesjournals.org/care/article/49/Supplement_1/S183/163934/9-Pharmacologic-Approaches-to-Glycemic-Treatment</t>
        </is>
      </c>
      <c r="H17" s="15" t="inlineStr">
        <is>
          <t>2026</t>
        </is>
      </c>
      <c r="I17" s="43" t="n">
        <v>46023</v>
      </c>
      <c r="J17" s="43" t="n">
        <v>46272</v>
      </c>
      <c r="K17" s="15" t="inlineStr">
        <is>
          <t>10.2337/dc26-S009</t>
        </is>
      </c>
      <c r="L17" s="15" t="inlineStr">
        <is>
          <t>41358900</t>
        </is>
      </c>
      <c r="M17" s="15" t="inlineStr">
        <is>
          <t>Rà thủ công + nguồn chính thức</t>
        </is>
      </c>
      <c r="N17" s="15" t="inlineStr">
        <is>
          <t>15 tuần</t>
        </is>
      </c>
      <c r="O17" s="15" t="inlineStr">
        <is>
          <t>Có</t>
        </is>
      </c>
      <c r="P17" s="15" t="inlineStr">
        <is>
          <t>DRAFT — CHƯA DUYỆT. Lựa chọn thuốc lấy người bệnh làm trung tâm; không tự chuyển thành phác đồ.</t>
        </is>
      </c>
    </row>
    <row r="18">
      <c r="A18" s="15" t="inlineStr">
        <is>
          <t>SRC-ENDO-2026-006</t>
        </is>
      </c>
      <c r="B18" s="15" t="inlineStr">
        <is>
          <t>PRJ-ENDO</t>
        </is>
      </c>
      <c r="C18" s="15" t="inlineStr">
        <is>
          <t>Q-ENDO-02</t>
        </is>
      </c>
      <c r="D18" s="15" t="inlineStr">
        <is>
          <t>Effects of intensive glucose lowering in type 2 diabetes</t>
        </is>
      </c>
      <c r="E18" s="15" t="inlineStr">
        <is>
          <t>RCT</t>
        </is>
      </c>
      <c r="F18" s="15" t="inlineStr">
        <is>
          <t>New England Journal of Medicine</t>
        </is>
      </c>
      <c r="G18" s="15" t="inlineStr">
        <is>
          <t>https://pubmed.ncbi.nlm.nih.gov/18539917/</t>
        </is>
      </c>
      <c r="H18" s="15" t="inlineStr">
        <is>
          <t>2008</t>
        </is>
      </c>
      <c r="I18" s="43" t="n">
        <v>39611</v>
      </c>
      <c r="J18" s="43" t="n">
        <v>46272</v>
      </c>
      <c r="K18" s="15" t="inlineStr">
        <is>
          <t>10.1056/NEJMoa0802743</t>
        </is>
      </c>
      <c r="L18" s="15" t="inlineStr">
        <is>
          <t>18539917</t>
        </is>
      </c>
      <c r="M18" s="15" t="inlineStr">
        <is>
          <t>Rà thủ công + nguồn chính thức</t>
        </is>
      </c>
      <c r="N18" s="15" t="inlineStr">
        <is>
          <t>15 tuần</t>
        </is>
      </c>
      <c r="O18" s="15" t="inlineStr">
        <is>
          <t>Có</t>
        </is>
      </c>
      <c r="P18" s="15" t="inlineStr">
        <is>
          <t>DRAFT — CHƯA DUYỆT. ACCORD; tử vong tăng ở chiến lược mục tiêu gần bình thường trên quần thể nguy cơ cao.</t>
        </is>
      </c>
    </row>
    <row r="19">
      <c r="A19" s="15" t="inlineStr">
        <is>
          <t>SRC-ENDO-2026-007</t>
        </is>
      </c>
      <c r="B19" s="15" t="inlineStr">
        <is>
          <t>PRJ-ENDO</t>
        </is>
      </c>
      <c r="C19" s="15" t="inlineStr">
        <is>
          <t>Q-ENDO-03</t>
        </is>
      </c>
      <c r="D19" s="15" t="inlineStr">
        <is>
          <t>8. Obesity and Weight Management for the Prevention and Treatment of Type 2 Diabetes: Standards of Care in Diabetes—2026</t>
        </is>
      </c>
      <c r="E19" s="15" t="inlineStr">
        <is>
          <t>Guideline</t>
        </is>
      </c>
      <c r="F19" s="15" t="inlineStr">
        <is>
          <t>American Diabetes Association</t>
        </is>
      </c>
      <c r="G19" s="15" t="inlineStr">
        <is>
          <t>https://diabetesjournals.org/care/article/49/Supplement_1/S166/163915/8-Obesity-and-Weight-Management-for-the-Prevention</t>
        </is>
      </c>
      <c r="H19" s="15" t="inlineStr">
        <is>
          <t>2026</t>
        </is>
      </c>
      <c r="I19" s="43" t="n">
        <v>46023</v>
      </c>
      <c r="J19" s="43" t="n">
        <v>46272</v>
      </c>
      <c r="K19" s="15" t="inlineStr">
        <is>
          <t>10.2337/dc26-S008</t>
        </is>
      </c>
      <c r="L19" s="15" t="inlineStr">
        <is>
          <t>41358882</t>
        </is>
      </c>
      <c r="M19" s="15" t="inlineStr">
        <is>
          <t>Rà thủ công + nguồn chính thức</t>
        </is>
      </c>
      <c r="N19" s="15" t="inlineStr">
        <is>
          <t>15 tuần</t>
        </is>
      </c>
      <c r="O19" s="15" t="inlineStr">
        <is>
          <t>Có</t>
        </is>
      </c>
      <c r="P19" s="15" t="inlineStr">
        <is>
          <t>DRAFT — CHƯA DUYỆT. Khung đánh giá và điều trị béo phì trong đái tháo đường.</t>
        </is>
      </c>
    </row>
    <row r="20">
      <c r="A20" s="15" t="inlineStr">
        <is>
          <t>SRC-ENDO-2026-008</t>
        </is>
      </c>
      <c r="B20" s="15" t="inlineStr">
        <is>
          <t>PRJ-ENDO</t>
        </is>
      </c>
      <c r="C20" s="15" t="inlineStr">
        <is>
          <t>Q-ENDO-03</t>
        </is>
      </c>
      <c r="D20" s="15" t="inlineStr">
        <is>
          <t>Semaglutide and Cardiovascular Outcomes in Obesity without Diabetes</t>
        </is>
      </c>
      <c r="E20" s="15" t="inlineStr">
        <is>
          <t>RCT</t>
        </is>
      </c>
      <c r="F20" s="15" t="inlineStr">
        <is>
          <t>New England Journal of Medicine</t>
        </is>
      </c>
      <c r="G20" s="15" t="inlineStr">
        <is>
          <t>https://pubmed.ncbi.nlm.nih.gov/37952131/</t>
        </is>
      </c>
      <c r="H20" s="15" t="inlineStr">
        <is>
          <t>2023</t>
        </is>
      </c>
      <c r="I20" s="43" t="n">
        <v>45241</v>
      </c>
      <c r="J20" s="43" t="n">
        <v>46272</v>
      </c>
      <c r="K20" s="15" t="inlineStr">
        <is>
          <t>10.1056/NEJMoa2307563</t>
        </is>
      </c>
      <c r="L20" s="15" t="inlineStr">
        <is>
          <t>37952131</t>
        </is>
      </c>
      <c r="M20" s="15" t="inlineStr">
        <is>
          <t>Rà thủ công + nguồn chính thức</t>
        </is>
      </c>
      <c r="N20" s="15" t="inlineStr">
        <is>
          <t>15 tuần</t>
        </is>
      </c>
      <c r="O20" s="15" t="inlineStr">
        <is>
          <t>Có</t>
        </is>
      </c>
      <c r="P20" s="15" t="inlineStr">
        <is>
          <t>DRAFT — CHƯA DUYỆT. SELECT; MACE và ngừng thuốc do biến cố bất lợi; không suy rộng ngoài quần thể.</t>
        </is>
      </c>
    </row>
    <row r="21">
      <c r="A21" s="15" t="inlineStr">
        <is>
          <t>SRC-ENDO-2026-009</t>
        </is>
      </c>
      <c r="B21" s="15" t="inlineStr">
        <is>
          <t>PRJ-ENDO</t>
        </is>
      </c>
      <c r="C21" s="15" t="inlineStr">
        <is>
          <t>Q-ENDO-04</t>
        </is>
      </c>
      <c r="D21" s="15" t="inlineStr">
        <is>
          <t>Thyroid disease: assessment and management (NG145)</t>
        </is>
      </c>
      <c r="E21" s="15" t="inlineStr">
        <is>
          <t>Guideline</t>
        </is>
      </c>
      <c r="F21" s="15" t="inlineStr">
        <is>
          <t>NICE</t>
        </is>
      </c>
      <c r="G21" s="15" t="inlineStr">
        <is>
          <t>https://www.nice.org.uk/guidance/ng145/</t>
        </is>
      </c>
      <c r="H21" s="15" t="inlineStr">
        <is>
          <t>Updated 2023; reviewed 2025</t>
        </is>
      </c>
      <c r="I21" s="43" t="n">
        <v>45211</v>
      </c>
      <c r="J21" s="43" t="n">
        <v>46272</v>
      </c>
      <c r="K21" s="15" t="inlineStr"/>
      <c r="L21" s="15" t="inlineStr"/>
      <c r="M21" s="15" t="inlineStr">
        <is>
          <t>Rà thủ công + nguồn chính thức</t>
        </is>
      </c>
      <c r="N21" s="15" t="inlineStr">
        <is>
          <t>15 tuần</t>
        </is>
      </c>
      <c r="O21" s="15" t="inlineStr">
        <is>
          <t>Có</t>
        </is>
      </c>
      <c r="P21" s="15" t="inlineStr">
        <is>
          <t>DRAFT — CHƯA DUYỆT. Khung đánh giá/điều trị; NICE xác nhận rà soát 03/10/2025.</t>
        </is>
      </c>
    </row>
    <row r="22">
      <c r="A22" s="15" t="inlineStr">
        <is>
          <t>SRC-ENDO-2026-010</t>
        </is>
      </c>
      <c r="B22" s="15" t="inlineStr">
        <is>
          <t>PRJ-ENDO</t>
        </is>
      </c>
      <c r="C22" s="15" t="inlineStr">
        <is>
          <t>Q-ENDO-04</t>
        </is>
      </c>
      <c r="D22" s="15" t="inlineStr">
        <is>
          <t>2023 European Thyroid Association Clinical Practice Guidelines for thyroid nodule management</t>
        </is>
      </c>
      <c r="E22" s="15" t="inlineStr">
        <is>
          <t>Guideline</t>
        </is>
      </c>
      <c r="F22" s="15" t="inlineStr">
        <is>
          <t>European Thyroid Association</t>
        </is>
      </c>
      <c r="G22" s="15" t="inlineStr">
        <is>
          <t>https://pubmed.ncbi.nlm.nih.gov/37358008/</t>
        </is>
      </c>
      <c r="H22" s="15" t="inlineStr">
        <is>
          <t>2023</t>
        </is>
      </c>
      <c r="I22" s="43" t="n">
        <v>45100</v>
      </c>
      <c r="J22" s="43" t="n">
        <v>46272</v>
      </c>
      <c r="K22" s="15" t="inlineStr">
        <is>
          <t>10.1530/ETJ-23-0067</t>
        </is>
      </c>
      <c r="L22" s="15" t="inlineStr">
        <is>
          <t>37358008</t>
        </is>
      </c>
      <c r="M22" s="15" t="inlineStr">
        <is>
          <t>Rà thủ công + nguồn chính thức</t>
        </is>
      </c>
      <c r="N22" s="15" t="inlineStr">
        <is>
          <t>15 tuần</t>
        </is>
      </c>
      <c r="O22" s="15" t="inlineStr">
        <is>
          <t>Có</t>
        </is>
      </c>
      <c r="P22" s="15" t="inlineStr">
        <is>
          <t>DRAFT — CHƯA DUYỆT. Phân tầng nguy cơ và theo dõi nhân giáp.</t>
        </is>
      </c>
    </row>
    <row r="23">
      <c r="A23" s="15" t="inlineStr">
        <is>
          <t>SRC-ENDO-2026-011</t>
        </is>
      </c>
      <c r="B23" s="15" t="inlineStr">
        <is>
          <t>PRJ-ENDO</t>
        </is>
      </c>
      <c r="C23" s="15" t="inlineStr">
        <is>
          <t>Q-ENDO-04</t>
        </is>
      </c>
      <c r="D23" s="15" t="inlineStr">
        <is>
          <t>2016 American Thyroid Association Guidelines for Diagnosis and Management of Hyperthyroidism</t>
        </is>
      </c>
      <c r="E23" s="15" t="inlineStr">
        <is>
          <t>Guideline</t>
        </is>
      </c>
      <c r="F23" s="15" t="inlineStr">
        <is>
          <t>American Thyroid Association</t>
        </is>
      </c>
      <c r="G23" s="15" t="inlineStr">
        <is>
          <t>https://pubmed.ncbi.nlm.nih.gov/27521067/</t>
        </is>
      </c>
      <c r="H23" s="15" t="inlineStr">
        <is>
          <t>2016 + corrections 2017/2025</t>
        </is>
      </c>
      <c r="I23" s="43" t="n">
        <v>42644</v>
      </c>
      <c r="J23" s="43" t="n">
        <v>46272</v>
      </c>
      <c r="K23" s="15" t="inlineStr">
        <is>
          <t>10.1089/thy.2016.0229</t>
        </is>
      </c>
      <c r="L23" s="15" t="inlineStr">
        <is>
          <t>27521067</t>
        </is>
      </c>
      <c r="M23" s="15" t="inlineStr">
        <is>
          <t>Rà thủ công + nguồn chính thức</t>
        </is>
      </c>
      <c r="N23" s="15" t="inlineStr">
        <is>
          <t>15 tuần</t>
        </is>
      </c>
      <c r="O23" s="15" t="inlineStr">
        <is>
          <t>Có</t>
        </is>
      </c>
      <c r="P23" s="15" t="inlineStr">
        <is>
          <t>DRAFT — CHƯA DUYỆT. Phải đọc cùng corrigendum PMID 29035639 và second correction PMID 40765504.</t>
        </is>
      </c>
    </row>
    <row r="24">
      <c r="A24" s="15" t="inlineStr">
        <is>
          <t>SRC-ENDO-2026-012</t>
        </is>
      </c>
      <c r="B24" s="15" t="inlineStr">
        <is>
          <t>PRJ-ENDO</t>
        </is>
      </c>
      <c r="C24" s="15" t="inlineStr">
        <is>
          <t>Q-ENDO-04</t>
        </is>
      </c>
      <c r="D24" s="15" t="inlineStr">
        <is>
          <t>Thyroid Hormone Therapy for Older Adults with Subclinical Hypothyroidism</t>
        </is>
      </c>
      <c r="E24" s="15" t="inlineStr">
        <is>
          <t>RCT</t>
        </is>
      </c>
      <c r="F24" s="15" t="inlineStr">
        <is>
          <t>New England Journal of Medicine</t>
        </is>
      </c>
      <c r="G24" s="15" t="inlineStr">
        <is>
          <t>https://pubmed.ncbi.nlm.nih.gov/28402245/</t>
        </is>
      </c>
      <c r="H24" s="15" t="inlineStr">
        <is>
          <t>2017</t>
        </is>
      </c>
      <c r="I24" s="43" t="n">
        <v>42915</v>
      </c>
      <c r="J24" s="43" t="n">
        <v>46272</v>
      </c>
      <c r="K24" s="15" t="inlineStr">
        <is>
          <t>10.1056/NEJMoa1603825</t>
        </is>
      </c>
      <c r="L24" s="15" t="inlineStr">
        <is>
          <t>28402245</t>
        </is>
      </c>
      <c r="M24" s="15" t="inlineStr">
        <is>
          <t>Rà thủ công + nguồn chính thức</t>
        </is>
      </c>
      <c r="N24" s="15" t="inlineStr">
        <is>
          <t>15 tuần</t>
        </is>
      </c>
      <c r="O24" s="15" t="inlineStr">
        <is>
          <t>Có</t>
        </is>
      </c>
      <c r="P24" s="15" t="inlineStr">
        <is>
          <t>DRAFT — CHƯA DUYỆT. TRUST; không cải thiện triệu chứng ở người ≥65 tuổi suy giáp dưới lâm sàng nhẹ.</t>
        </is>
      </c>
    </row>
    <row r="25">
      <c r="A25" s="15" t="inlineStr">
        <is>
          <t>SRC-ENDO-2026-013</t>
        </is>
      </c>
      <c r="B25" s="15" t="inlineStr">
        <is>
          <t>PRJ-ENDO</t>
        </is>
      </c>
      <c r="C25" s="15" t="inlineStr">
        <is>
          <t>Q-ENDO-05</t>
        </is>
      </c>
      <c r="D25" s="15" t="inlineStr">
        <is>
          <t>11. Chronic Kidney Disease and Risk Management: Standards of Care in Diabetes—2026</t>
        </is>
      </c>
      <c r="E25" s="15" t="inlineStr">
        <is>
          <t>Guideline</t>
        </is>
      </c>
      <c r="F25" s="15" t="inlineStr">
        <is>
          <t>American Diabetes Association</t>
        </is>
      </c>
      <c r="G25" s="15" t="inlineStr">
        <is>
          <t>https://diabetesjournals.org/care/article/49/Supplement_1/S246/163914/11-Chronic-Kidney-Disease-and-Risk-Management</t>
        </is>
      </c>
      <c r="H25" s="15" t="inlineStr">
        <is>
          <t>2026</t>
        </is>
      </c>
      <c r="I25" s="43" t="n">
        <v>46023</v>
      </c>
      <c r="J25" s="43" t="n">
        <v>46272</v>
      </c>
      <c r="K25" s="15" t="inlineStr">
        <is>
          <t>10.2337/dc26-S011</t>
        </is>
      </c>
      <c r="L25" s="15" t="inlineStr">
        <is>
          <t>41358881</t>
        </is>
      </c>
      <c r="M25" s="15" t="inlineStr">
        <is>
          <t>Rà thủ công + nguồn chính thức</t>
        </is>
      </c>
      <c r="N25" s="15" t="inlineStr">
        <is>
          <t>15 tuần</t>
        </is>
      </c>
      <c r="O25" s="15" t="inlineStr">
        <is>
          <t>Có</t>
        </is>
      </c>
      <c r="P25" s="15" t="inlineStr">
        <is>
          <t>DRAFT — CHƯA DUYỆT. Mốc UACR/eGFR và phân tầng nguy cơ thận.</t>
        </is>
      </c>
    </row>
    <row r="26">
      <c r="A26" s="15" t="inlineStr">
        <is>
          <t>SRC-ENDO-2026-014</t>
        </is>
      </c>
      <c r="B26" s="15" t="inlineStr">
        <is>
          <t>PRJ-ENDO</t>
        </is>
      </c>
      <c r="C26" s="15" t="inlineStr">
        <is>
          <t>Q-ENDO-05</t>
        </is>
      </c>
      <c r="D26" s="15" t="inlineStr">
        <is>
          <t>12. Retinopathy, Neuropathy, and Foot Care: Standards of Care in Diabetes—2026</t>
        </is>
      </c>
      <c r="E26" s="15" t="inlineStr">
        <is>
          <t>Guideline</t>
        </is>
      </c>
      <c r="F26" s="15" t="inlineStr">
        <is>
          <t>American Diabetes Association</t>
        </is>
      </c>
      <c r="G26" s="15" t="inlineStr">
        <is>
          <t>https://diabetesjournals.org/care/article/49/Supplement_1/S261/163919/12-Retinopathy-Neuropathy-and-Foot-Care-Standards</t>
        </is>
      </c>
      <c r="H26" s="15" t="inlineStr">
        <is>
          <t>2026</t>
        </is>
      </c>
      <c r="I26" s="43" t="n">
        <v>46023</v>
      </c>
      <c r="J26" s="43" t="n">
        <v>46272</v>
      </c>
      <c r="K26" s="15" t="inlineStr">
        <is>
          <t>10.2337/dc26-S012</t>
        </is>
      </c>
      <c r="L26" s="15" t="inlineStr">
        <is>
          <t>41358886</t>
        </is>
      </c>
      <c r="M26" s="15" t="inlineStr">
        <is>
          <t>Rà thủ công + nguồn chính thức</t>
        </is>
      </c>
      <c r="N26" s="15" t="inlineStr">
        <is>
          <t>15 tuần</t>
        </is>
      </c>
      <c r="O26" s="15" t="inlineStr">
        <is>
          <t>Có</t>
        </is>
      </c>
      <c r="P26" s="15" t="inlineStr">
        <is>
          <t>DRAFT — CHƯA DUYỆT. Mốc sàng lọc mắt, thần kinh và bàn chân.</t>
        </is>
      </c>
    </row>
    <row r="27">
      <c r="A27" s="15" t="inlineStr">
        <is>
          <t>SRC-ENDO-2026-015</t>
        </is>
      </c>
      <c r="B27" s="15" t="inlineStr">
        <is>
          <t>PRJ-ENDO</t>
        </is>
      </c>
      <c r="C27" s="15" t="inlineStr">
        <is>
          <t>Q-ENDO-06</t>
        </is>
      </c>
      <c r="D27" s="15" t="inlineStr">
        <is>
          <t>Effect of Continuous Glucose Monitoring on Hypoglycemia in Older Adults With Type 1 Diabetes</t>
        </is>
      </c>
      <c r="E27" s="15" t="inlineStr">
        <is>
          <t>RCT</t>
        </is>
      </c>
      <c r="F27" s="15" t="inlineStr">
        <is>
          <t>JAMA</t>
        </is>
      </c>
      <c r="G27" s="15" t="inlineStr">
        <is>
          <t>https://pubmed.ncbi.nlm.nih.gov/32543682/</t>
        </is>
      </c>
      <c r="H27" s="15" t="inlineStr">
        <is>
          <t>2020</t>
        </is>
      </c>
      <c r="I27" s="43" t="n">
        <v>43998</v>
      </c>
      <c r="J27" s="43" t="n">
        <v>46272</v>
      </c>
      <c r="K27" s="15" t="inlineStr">
        <is>
          <t>10.1001/jama.2020.6928</t>
        </is>
      </c>
      <c r="L27" s="15" t="inlineStr">
        <is>
          <t>32543682</t>
        </is>
      </c>
      <c r="M27" s="15" t="inlineStr">
        <is>
          <t>Rà thủ công + nguồn chính thức</t>
        </is>
      </c>
      <c r="N27" s="15" t="inlineStr">
        <is>
          <t>15 tuần</t>
        </is>
      </c>
      <c r="O27" s="15" t="inlineStr">
        <is>
          <t>Có</t>
        </is>
      </c>
      <c r="P27" s="15" t="inlineStr">
        <is>
          <t>DRAFT — CHƯA DUYỆT. WISDM; kết cục thời gian hạ đường huyết và biến cố nặng trong 6 tháng.</t>
        </is>
      </c>
    </row>
    <row r="28">
      <c r="A28" s="15" t="inlineStr">
        <is>
          <t>SRC-ENDO-2026-016</t>
        </is>
      </c>
      <c r="B28" s="15" t="inlineStr">
        <is>
          <t>PRJ-ENDO</t>
        </is>
      </c>
      <c r="C28" s="15" t="inlineStr">
        <is>
          <t>Q-ENDO-03</t>
        </is>
      </c>
      <c r="D28" s="15" t="inlineStr">
        <is>
          <t>Screening, diagnosis and clinical staging of people with overweight or obesity: Standards of care in overweight and obesity—2026</t>
        </is>
      </c>
      <c r="E28" s="15" t="inlineStr">
        <is>
          <t>Guideline mới</t>
        </is>
      </c>
      <c r="F28" s="15" t="inlineStr">
        <is>
          <t>American Diabetes Association / The Obesity Association</t>
        </is>
      </c>
      <c r="G28" s="15" t="inlineStr">
        <is>
          <t>https://doi.org/10.2337/doci26-0003</t>
        </is>
      </c>
      <c r="H28" s="15" t="inlineStr">
        <is>
          <t>2026</t>
        </is>
      </c>
      <c r="I28" s="43" t="n">
        <v>46177</v>
      </c>
      <c r="J28" s="43" t="n">
        <v>46272</v>
      </c>
      <c r="K28" s="15" t="inlineStr">
        <is>
          <t>10.2337/doci26-0003</t>
        </is>
      </c>
      <c r="L28" s="15" t="inlineStr">
        <is>
          <t>42242835</t>
        </is>
      </c>
      <c r="M28" s="15" t="inlineStr">
        <is>
          <t>Rà thủ công + nguồn chính thức</t>
        </is>
      </c>
      <c r="N28" s="15" t="inlineStr">
        <is>
          <t>15 tuần</t>
        </is>
      </c>
      <c r="O28" s="15" t="inlineStr">
        <is>
          <t>Có</t>
        </is>
      </c>
      <c r="P28" s="15" t="inlineStr">
        <is>
          <t>DRAFT — CHƯA DUYỆT. TÍN HIỆU MỚI P2: chuẩn riêng về sàng lọc/chẩn đoán/phân giai đoạn; cần địa phương hóa ngưỡng châu Á/Việt Nam.</t>
        </is>
      </c>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row r="56">
      <c r="A56" s="15" t="n"/>
      <c r="B56" s="15" t="n"/>
      <c r="C56" s="15" t="n"/>
      <c r="D56" s="15" t="n"/>
      <c r="E56" s="15" t="n"/>
      <c r="F56" s="15" t="n"/>
      <c r="G56" s="15" t="n"/>
      <c r="H56" s="15" t="n"/>
      <c r="I56" s="15" t="n"/>
      <c r="J56" s="15" t="n"/>
      <c r="K56" s="15" t="n"/>
      <c r="L56" s="15" t="n"/>
      <c r="M56" s="15" t="n"/>
      <c r="N56" s="15" t="n"/>
      <c r="O56" s="15" t="n"/>
      <c r="P56" s="15" t="n"/>
    </row>
    <row r="57">
      <c r="A57" s="15" t="n"/>
      <c r="B57" s="15" t="n"/>
      <c r="C57" s="15" t="n"/>
      <c r="D57" s="15" t="n"/>
      <c r="E57" s="15" t="n"/>
      <c r="F57" s="15" t="n"/>
      <c r="G57" s="15" t="n"/>
      <c r="H57" s="15" t="n"/>
      <c r="I57" s="15" t="n"/>
      <c r="J57" s="15" t="n"/>
      <c r="K57" s="15" t="n"/>
      <c r="L57" s="15" t="n"/>
      <c r="M57" s="15" t="n"/>
      <c r="N57" s="15" t="n"/>
      <c r="O57" s="15" t="n"/>
      <c r="P57" s="15" t="n"/>
    </row>
    <row r="58">
      <c r="A58" s="15" t="n"/>
      <c r="B58" s="15" t="n"/>
      <c r="C58" s="15" t="n"/>
      <c r="D58" s="15" t="n"/>
      <c r="E58" s="15" t="n"/>
      <c r="F58" s="15" t="n"/>
      <c r="G58" s="15" t="n"/>
      <c r="H58" s="15" t="n"/>
      <c r="I58" s="15" t="n"/>
      <c r="J58" s="15" t="n"/>
      <c r="K58" s="15" t="n"/>
      <c r="L58" s="15" t="n"/>
      <c r="M58" s="15" t="n"/>
      <c r="N58" s="15" t="n"/>
      <c r="O58" s="15" t="n"/>
      <c r="P58" s="15" t="n"/>
    </row>
    <row r="59">
      <c r="A59" s="15" t="n"/>
      <c r="B59" s="15" t="n"/>
      <c r="C59" s="15" t="n"/>
      <c r="D59" s="15" t="n"/>
      <c r="E59" s="15" t="n"/>
      <c r="F59" s="15" t="n"/>
      <c r="G59" s="15" t="n"/>
      <c r="H59" s="15" t="n"/>
      <c r="I59" s="15" t="n"/>
      <c r="J59" s="15" t="n"/>
      <c r="K59" s="15" t="n"/>
      <c r="L59" s="15" t="n"/>
      <c r="M59" s="15" t="n"/>
      <c r="N59" s="15" t="n"/>
      <c r="O59" s="15" t="n"/>
      <c r="P59" s="15" t="n"/>
    </row>
    <row r="60">
      <c r="A60" s="15" t="n"/>
      <c r="B60" s="15" t="n"/>
      <c r="C60" s="15" t="n"/>
      <c r="D60" s="15" t="n"/>
      <c r="E60" s="15" t="n"/>
      <c r="F60" s="15" t="n"/>
      <c r="G60" s="15" t="n"/>
      <c r="H60" s="15" t="n"/>
      <c r="I60" s="15" t="n"/>
      <c r="J60" s="15" t="n"/>
      <c r="K60" s="15" t="n"/>
      <c r="L60" s="15" t="n"/>
      <c r="M60" s="15" t="n"/>
      <c r="N60" s="15" t="n"/>
      <c r="O60" s="15" t="n"/>
      <c r="P60" s="15" t="n"/>
    </row>
    <row r="61">
      <c r="A61" s="15" t="n"/>
      <c r="B61" s="15" t="n"/>
      <c r="C61" s="15" t="n"/>
      <c r="D61" s="15" t="n"/>
      <c r="E61" s="15" t="n"/>
      <c r="F61" s="15" t="n"/>
      <c r="G61" s="15" t="n"/>
      <c r="H61" s="15" t="n"/>
      <c r="I61" s="15" t="n"/>
      <c r="J61" s="15" t="n"/>
      <c r="K61" s="15" t="n"/>
      <c r="L61" s="15" t="n"/>
      <c r="M61" s="15" t="n"/>
      <c r="N61" s="15" t="n"/>
      <c r="O61" s="15" t="n"/>
      <c r="P61" s="15" t="n"/>
    </row>
    <row r="62">
      <c r="A62" s="15" t="n"/>
      <c r="B62" s="15" t="n"/>
      <c r="C62" s="15" t="n"/>
      <c r="D62" s="15" t="n"/>
      <c r="E62" s="15" t="n"/>
      <c r="F62" s="15" t="n"/>
      <c r="G62" s="15" t="n"/>
      <c r="H62" s="15" t="n"/>
      <c r="I62" s="15" t="n"/>
      <c r="J62" s="15" t="n"/>
      <c r="K62" s="15" t="n"/>
      <c r="L62" s="15" t="n"/>
      <c r="M62" s="15" t="n"/>
      <c r="N62" s="15" t="n"/>
      <c r="O62" s="15" t="n"/>
      <c r="P62" s="15" t="n"/>
    </row>
    <row r="63">
      <c r="A63" s="15" t="n"/>
      <c r="B63" s="15" t="n"/>
      <c r="C63" s="15" t="n"/>
      <c r="D63" s="15" t="n"/>
      <c r="E63" s="15" t="n"/>
      <c r="F63" s="15" t="n"/>
      <c r="G63" s="15" t="n"/>
      <c r="H63" s="15" t="n"/>
      <c r="I63" s="15" t="n"/>
      <c r="J63" s="15" t="n"/>
      <c r="K63" s="15" t="n"/>
      <c r="L63" s="15" t="n"/>
      <c r="M63" s="15" t="n"/>
      <c r="N63" s="15" t="n"/>
      <c r="O63" s="15" t="n"/>
      <c r="P63" s="15" t="n"/>
    </row>
    <row r="64">
      <c r="A64" s="15" t="n"/>
      <c r="B64" s="15" t="n"/>
      <c r="C64" s="15" t="n"/>
      <c r="D64" s="15" t="n"/>
      <c r="E64" s="15" t="n"/>
      <c r="F64" s="15" t="n"/>
      <c r="G64" s="15" t="n"/>
      <c r="H64" s="15" t="n"/>
      <c r="I64" s="15" t="n"/>
      <c r="J64" s="15" t="n"/>
      <c r="K64" s="15" t="n"/>
      <c r="L64" s="15" t="n"/>
      <c r="M64" s="15" t="n"/>
      <c r="N64" s="15" t="n"/>
      <c r="O64" s="15" t="n"/>
      <c r="P64" s="15" t="n"/>
    </row>
    <row r="65">
      <c r="A65" s="15" t="n"/>
      <c r="B65" s="15" t="n"/>
      <c r="C65" s="15" t="n"/>
      <c r="D65" s="15" t="n"/>
      <c r="E65" s="15" t="n"/>
      <c r="F65" s="15" t="n"/>
      <c r="G65" s="15" t="n"/>
      <c r="H65" s="15" t="n"/>
      <c r="I65" s="15" t="n"/>
      <c r="J65" s="15" t="n"/>
      <c r="K65" s="15" t="n"/>
      <c r="L65" s="15" t="n"/>
      <c r="M65" s="15" t="n"/>
      <c r="N65" s="15" t="n"/>
      <c r="O65" s="15" t="n"/>
      <c r="P65" s="15" t="n"/>
    </row>
    <row r="66">
      <c r="A66" s="15" t="n"/>
      <c r="B66" s="15" t="n"/>
      <c r="C66" s="15" t="n"/>
      <c r="D66" s="15" t="n"/>
      <c r="E66" s="15" t="n"/>
      <c r="F66" s="15" t="n"/>
      <c r="G66" s="15" t="n"/>
      <c r="H66" s="15" t="n"/>
      <c r="I66" s="15" t="n"/>
      <c r="J66" s="15" t="n"/>
      <c r="K66" s="15" t="n"/>
      <c r="L66" s="15" t="n"/>
      <c r="M66" s="15" t="n"/>
      <c r="N66" s="15" t="n"/>
      <c r="O66" s="15" t="n"/>
      <c r="P66" s="15" t="n"/>
    </row>
    <row r="67">
      <c r="A67" s="15" t="n"/>
      <c r="B67" s="15" t="n"/>
      <c r="C67" s="15" t="n"/>
      <c r="D67" s="15" t="n"/>
      <c r="E67" s="15" t="n"/>
      <c r="F67" s="15" t="n"/>
      <c r="G67" s="15" t="n"/>
      <c r="H67" s="15" t="n"/>
      <c r="I67" s="15" t="n"/>
      <c r="J67" s="15" t="n"/>
      <c r="K67" s="15" t="n"/>
      <c r="L67" s="15" t="n"/>
      <c r="M67" s="15" t="n"/>
      <c r="N67" s="15" t="n"/>
      <c r="O67" s="15" t="n"/>
      <c r="P67" s="15" t="n"/>
    </row>
    <row r="68">
      <c r="A68" s="15" t="n"/>
      <c r="B68" s="15" t="n"/>
      <c r="C68" s="15" t="n"/>
      <c r="D68" s="15" t="n"/>
      <c r="E68" s="15" t="n"/>
      <c r="F68" s="15" t="n"/>
      <c r="G68" s="15" t="n"/>
      <c r="H68" s="15" t="n"/>
      <c r="I68" s="15" t="n"/>
      <c r="J68" s="15" t="n"/>
      <c r="K68" s="15" t="n"/>
      <c r="L68" s="15" t="n"/>
      <c r="M68" s="15" t="n"/>
      <c r="N68" s="15" t="n"/>
      <c r="O68" s="15" t="n"/>
      <c r="P68" s="15" t="n"/>
    </row>
    <row r="69">
      <c r="A69" s="15" t="n"/>
      <c r="B69" s="15" t="n"/>
      <c r="C69" s="15" t="n"/>
      <c r="D69" s="15" t="n"/>
      <c r="E69" s="15" t="n"/>
      <c r="F69" s="15" t="n"/>
      <c r="G69" s="15" t="n"/>
      <c r="H69" s="15" t="n"/>
      <c r="I69" s="15" t="n"/>
      <c r="J69" s="15" t="n"/>
      <c r="K69" s="15" t="n"/>
      <c r="L69" s="15" t="n"/>
      <c r="M69" s="15" t="n"/>
      <c r="N69" s="15" t="n"/>
      <c r="O69" s="15" t="n"/>
      <c r="P69" s="15" t="n"/>
    </row>
    <row r="70">
      <c r="A70" s="15" t="n"/>
      <c r="B70" s="15" t="n"/>
      <c r="C70" s="15" t="n"/>
      <c r="D70" s="15" t="n"/>
      <c r="E70" s="15" t="n"/>
      <c r="F70" s="15" t="n"/>
      <c r="G70" s="15" t="n"/>
      <c r="H70" s="15" t="n"/>
      <c r="I70" s="15" t="n"/>
      <c r="J70" s="15" t="n"/>
      <c r="K70" s="15" t="n"/>
      <c r="L70" s="15" t="n"/>
      <c r="M70" s="15" t="n"/>
      <c r="N70" s="15" t="n"/>
      <c r="O70" s="15" t="n"/>
      <c r="P70" s="15" t="n"/>
    </row>
    <row r="71">
      <c r="A71" s="15" t="n"/>
      <c r="B71" s="15" t="n"/>
      <c r="C71" s="15" t="n"/>
      <c r="D71" s="15" t="n"/>
      <c r="E71" s="15" t="n"/>
      <c r="F71" s="15" t="n"/>
      <c r="G71" s="15" t="n"/>
      <c r="H71" s="15" t="n"/>
      <c r="I71" s="15" t="n"/>
      <c r="J71" s="15" t="n"/>
      <c r="K71" s="15" t="n"/>
      <c r="L71" s="15" t="n"/>
      <c r="M71" s="15" t="n"/>
      <c r="N71" s="15" t="n"/>
      <c r="O71" s="15" t="n"/>
      <c r="P71" s="15" t="n"/>
    </row>
    <row r="72">
      <c r="A72" s="15" t="n"/>
      <c r="B72" s="15" t="n"/>
      <c r="C72" s="15" t="n"/>
      <c r="D72" s="15" t="n"/>
      <c r="E72" s="15" t="n"/>
      <c r="F72" s="15" t="n"/>
      <c r="G72" s="15" t="n"/>
      <c r="H72" s="15" t="n"/>
      <c r="I72" s="15" t="n"/>
      <c r="J72" s="15" t="n"/>
      <c r="K72" s="15" t="n"/>
      <c r="L72" s="15" t="n"/>
      <c r="M72" s="15" t="n"/>
      <c r="N72" s="15" t="n"/>
      <c r="O72" s="15" t="n"/>
      <c r="P72" s="15" t="n"/>
    </row>
    <row r="73">
      <c r="A73" s="15" t="n"/>
      <c r="B73" s="15" t="n"/>
      <c r="C73" s="15" t="n"/>
      <c r="D73" s="15" t="n"/>
      <c r="E73" s="15" t="n"/>
      <c r="F73" s="15" t="n"/>
      <c r="G73" s="15" t="n"/>
      <c r="H73" s="15" t="n"/>
      <c r="I73" s="15" t="n"/>
      <c r="J73" s="15" t="n"/>
      <c r="K73" s="15" t="n"/>
      <c r="L73" s="15" t="n"/>
      <c r="M73" s="15" t="n"/>
      <c r="N73" s="15" t="n"/>
      <c r="O73" s="15" t="n"/>
      <c r="P73" s="15" t="n"/>
    </row>
    <row r="74">
      <c r="A74" s="15" t="n"/>
      <c r="B74" s="15" t="n"/>
      <c r="C74" s="15" t="n"/>
      <c r="D74" s="15" t="n"/>
      <c r="E74" s="15" t="n"/>
      <c r="F74" s="15" t="n"/>
      <c r="G74" s="15" t="n"/>
      <c r="H74" s="15" t="n"/>
      <c r="I74" s="15" t="n"/>
      <c r="J74" s="15" t="n"/>
      <c r="K74" s="15" t="n"/>
      <c r="L74" s="15" t="n"/>
      <c r="M74" s="15" t="n"/>
      <c r="N74" s="15" t="n"/>
      <c r="O74" s="15" t="n"/>
      <c r="P74" s="15" t="n"/>
    </row>
    <row r="75">
      <c r="A75" s="15" t="n"/>
      <c r="B75" s="15" t="n"/>
      <c r="C75" s="15" t="n"/>
      <c r="D75" s="15" t="n"/>
      <c r="E75" s="15" t="n"/>
      <c r="F75" s="15" t="n"/>
      <c r="G75" s="15" t="n"/>
      <c r="H75" s="15" t="n"/>
      <c r="I75" s="15" t="n"/>
      <c r="J75" s="15" t="n"/>
      <c r="K75" s="15" t="n"/>
      <c r="L75" s="15" t="n"/>
      <c r="M75" s="15" t="n"/>
      <c r="N75" s="15" t="n"/>
      <c r="O75" s="15" t="n"/>
      <c r="P75" s="15" t="n"/>
    </row>
    <row r="76">
      <c r="A76" s="15" t="n"/>
      <c r="B76" s="15" t="n"/>
      <c r="C76" s="15" t="n"/>
      <c r="D76" s="15" t="n"/>
      <c r="E76" s="15" t="n"/>
      <c r="F76" s="15" t="n"/>
      <c r="G76" s="15" t="n"/>
      <c r="H76" s="15" t="n"/>
      <c r="I76" s="15" t="n"/>
      <c r="J76" s="15" t="n"/>
      <c r="K76" s="15" t="n"/>
      <c r="L76" s="15" t="n"/>
      <c r="M76" s="15" t="n"/>
      <c r="N76" s="15" t="n"/>
      <c r="O76" s="15" t="n"/>
      <c r="P76" s="15" t="n"/>
    </row>
    <row r="77">
      <c r="A77" s="15" t="n"/>
      <c r="B77" s="15" t="n"/>
      <c r="C77" s="15" t="n"/>
      <c r="D77" s="15" t="n"/>
      <c r="E77" s="15" t="n"/>
      <c r="F77" s="15" t="n"/>
      <c r="G77" s="15" t="n"/>
      <c r="H77" s="15" t="n"/>
      <c r="I77" s="15" t="n"/>
      <c r="J77" s="15" t="n"/>
      <c r="K77" s="15" t="n"/>
      <c r="L77" s="15" t="n"/>
      <c r="M77" s="15" t="n"/>
      <c r="N77" s="15" t="n"/>
      <c r="O77" s="15" t="n"/>
      <c r="P77" s="15" t="n"/>
    </row>
    <row r="78">
      <c r="A78" s="15" t="n"/>
      <c r="B78" s="15" t="n"/>
      <c r="C78" s="15" t="n"/>
      <c r="D78" s="15" t="n"/>
      <c r="E78" s="15" t="n"/>
      <c r="F78" s="15" t="n"/>
      <c r="G78" s="15" t="n"/>
      <c r="H78" s="15" t="n"/>
      <c r="I78" s="15" t="n"/>
      <c r="J78" s="15" t="n"/>
      <c r="K78" s="15" t="n"/>
      <c r="L78" s="15" t="n"/>
      <c r="M78" s="15" t="n"/>
      <c r="N78" s="15" t="n"/>
      <c r="O78" s="15" t="n"/>
      <c r="P78" s="15" t="n"/>
    </row>
    <row r="79">
      <c r="A79" s="15" t="n"/>
      <c r="B79" s="15" t="n"/>
      <c r="C79" s="15" t="n"/>
      <c r="D79" s="15" t="n"/>
      <c r="E79" s="15" t="n"/>
      <c r="F79" s="15" t="n"/>
      <c r="G79" s="15" t="n"/>
      <c r="H79" s="15" t="n"/>
      <c r="I79" s="15" t="n"/>
      <c r="J79" s="15" t="n"/>
      <c r="K79" s="15" t="n"/>
      <c r="L79" s="15" t="n"/>
      <c r="M79" s="15" t="n"/>
      <c r="N79" s="15" t="n"/>
      <c r="O79" s="15" t="n"/>
      <c r="P79" s="15" t="n"/>
    </row>
    <row r="80">
      <c r="A80" s="15" t="n"/>
      <c r="B80" s="15" t="n"/>
      <c r="C80" s="15" t="n"/>
      <c r="D80" s="15" t="n"/>
      <c r="E80" s="15" t="n"/>
      <c r="F80" s="15" t="n"/>
      <c r="G80" s="15" t="n"/>
      <c r="H80" s="15" t="n"/>
      <c r="I80" s="15" t="n"/>
      <c r="J80" s="15" t="n"/>
      <c r="K80" s="15" t="n"/>
      <c r="L80" s="15" t="n"/>
      <c r="M80" s="15" t="n"/>
      <c r="N80" s="15" t="n"/>
      <c r="O80" s="15" t="n"/>
      <c r="P80" s="15" t="n"/>
    </row>
    <row r="81">
      <c r="A81" s="15" t="n"/>
      <c r="B81" s="15" t="n"/>
      <c r="C81" s="15" t="n"/>
      <c r="D81" s="15" t="n"/>
      <c r="E81" s="15" t="n"/>
      <c r="F81" s="15" t="n"/>
      <c r="G81" s="15" t="n"/>
      <c r="H81" s="15" t="n"/>
      <c r="I81" s="15" t="n"/>
      <c r="J81" s="15" t="n"/>
      <c r="K81" s="15" t="n"/>
      <c r="L81" s="15" t="n"/>
      <c r="M81" s="15" t="n"/>
      <c r="N81" s="15" t="n"/>
      <c r="O81" s="15" t="n"/>
      <c r="P81" s="15" t="n"/>
    </row>
    <row r="82">
      <c r="A82" s="15" t="n"/>
      <c r="B82" s="15" t="n"/>
      <c r="C82" s="15" t="n"/>
      <c r="D82" s="15" t="n"/>
      <c r="E82" s="15" t="n"/>
      <c r="F82" s="15" t="n"/>
      <c r="G82" s="15" t="n"/>
      <c r="H82" s="15" t="n"/>
      <c r="I82" s="15" t="n"/>
      <c r="J82" s="15" t="n"/>
      <c r="K82" s="15" t="n"/>
      <c r="L82" s="15" t="n"/>
      <c r="M82" s="15" t="n"/>
      <c r="N82" s="15" t="n"/>
      <c r="O82" s="15" t="n"/>
      <c r="P82" s="15" t="n"/>
    </row>
    <row r="83">
      <c r="A83" s="15" t="n"/>
      <c r="B83" s="15" t="n"/>
      <c r="C83" s="15" t="n"/>
      <c r="D83" s="15" t="n"/>
      <c r="E83" s="15" t="n"/>
      <c r="F83" s="15" t="n"/>
      <c r="G83" s="15" t="n"/>
      <c r="H83" s="15" t="n"/>
      <c r="I83" s="15" t="n"/>
      <c r="J83" s="15" t="n"/>
      <c r="K83" s="15" t="n"/>
      <c r="L83" s="15" t="n"/>
      <c r="M83" s="15" t="n"/>
      <c r="N83" s="15" t="n"/>
      <c r="O83" s="15" t="n"/>
      <c r="P83" s="15" t="n"/>
    </row>
    <row r="84">
      <c r="A84" s="15" t="n"/>
      <c r="B84" s="15" t="n"/>
      <c r="C84" s="15" t="n"/>
      <c r="D84" s="15" t="n"/>
      <c r="E84" s="15" t="n"/>
      <c r="F84" s="15" t="n"/>
      <c r="G84" s="15" t="n"/>
      <c r="H84" s="15" t="n"/>
      <c r="I84" s="15" t="n"/>
      <c r="J84" s="15" t="n"/>
      <c r="K84" s="15" t="n"/>
      <c r="L84" s="15" t="n"/>
      <c r="M84" s="15" t="n"/>
      <c r="N84" s="15" t="n"/>
      <c r="O84" s="15" t="n"/>
      <c r="P84" s="15" t="n"/>
    </row>
    <row r="85">
      <c r="A85" s="15" t="n"/>
      <c r="B85" s="15" t="n"/>
      <c r="C85" s="15" t="n"/>
      <c r="D85" s="15" t="n"/>
      <c r="E85" s="15" t="n"/>
      <c r="F85" s="15" t="n"/>
      <c r="G85" s="15" t="n"/>
      <c r="H85" s="15" t="n"/>
      <c r="I85" s="15" t="n"/>
      <c r="J85" s="15" t="n"/>
      <c r="K85" s="15" t="n"/>
      <c r="L85" s="15" t="n"/>
      <c r="M85" s="15" t="n"/>
      <c r="N85" s="15" t="n"/>
      <c r="O85" s="15" t="n"/>
      <c r="P85" s="15" t="n"/>
    </row>
    <row r="86">
      <c r="A86" s="15" t="n"/>
      <c r="B86" s="15" t="n"/>
      <c r="C86" s="15" t="n"/>
      <c r="D86" s="15" t="n"/>
      <c r="E86" s="15" t="n"/>
      <c r="F86" s="15" t="n"/>
      <c r="G86" s="15" t="n"/>
      <c r="H86" s="15" t="n"/>
      <c r="I86" s="15" t="n"/>
      <c r="J86" s="15" t="n"/>
      <c r="K86" s="15" t="n"/>
      <c r="L86" s="15" t="n"/>
      <c r="M86" s="15" t="n"/>
      <c r="N86" s="15" t="n"/>
      <c r="O86" s="15" t="n"/>
      <c r="P86" s="15" t="n"/>
    </row>
    <row r="87">
      <c r="A87" s="15" t="n"/>
      <c r="B87" s="15" t="n"/>
      <c r="C87" s="15" t="n"/>
      <c r="D87" s="15" t="n"/>
      <c r="E87" s="15" t="n"/>
      <c r="F87" s="15" t="n"/>
      <c r="G87" s="15" t="n"/>
      <c r="H87" s="15" t="n"/>
      <c r="I87" s="15" t="n"/>
      <c r="J87" s="15" t="n"/>
      <c r="K87" s="15" t="n"/>
      <c r="L87" s="15" t="n"/>
      <c r="M87" s="15" t="n"/>
      <c r="N87" s="15" t="n"/>
      <c r="O87" s="15" t="n"/>
      <c r="P87" s="15" t="n"/>
    </row>
    <row r="88">
      <c r="A88" s="15" t="n"/>
      <c r="B88" s="15" t="n"/>
      <c r="C88" s="15" t="n"/>
      <c r="D88" s="15" t="n"/>
      <c r="E88" s="15" t="n"/>
      <c r="F88" s="15" t="n"/>
      <c r="G88" s="15" t="n"/>
      <c r="H88" s="15" t="n"/>
      <c r="I88" s="15" t="n"/>
      <c r="J88" s="15" t="n"/>
      <c r="K88" s="15" t="n"/>
      <c r="L88" s="15" t="n"/>
      <c r="M88" s="15" t="n"/>
      <c r="N88" s="15" t="n"/>
      <c r="O88" s="15" t="n"/>
      <c r="P88" s="15" t="n"/>
    </row>
    <row r="89">
      <c r="A89" s="15" t="n"/>
      <c r="B89" s="15" t="n"/>
      <c r="C89" s="15" t="n"/>
      <c r="D89" s="15" t="n"/>
      <c r="E89" s="15" t="n"/>
      <c r="F89" s="15" t="n"/>
      <c r="G89" s="15" t="n"/>
      <c r="H89" s="15" t="n"/>
      <c r="I89" s="15" t="n"/>
      <c r="J89" s="15" t="n"/>
      <c r="K89" s="15" t="n"/>
      <c r="L89" s="15" t="n"/>
      <c r="M89" s="15" t="n"/>
      <c r="N89" s="15" t="n"/>
      <c r="O89" s="15" t="n"/>
      <c r="P89" s="15" t="n"/>
    </row>
    <row r="90">
      <c r="A90" s="15" t="n"/>
      <c r="B90" s="15" t="n"/>
      <c r="C90" s="15" t="n"/>
      <c r="D90" s="15" t="n"/>
      <c r="E90" s="15" t="n"/>
      <c r="F90" s="15" t="n"/>
      <c r="G90" s="15" t="n"/>
      <c r="H90" s="15" t="n"/>
      <c r="I90" s="15" t="n"/>
      <c r="J90" s="15" t="n"/>
      <c r="K90" s="15" t="n"/>
      <c r="L90" s="15" t="n"/>
      <c r="M90" s="15" t="n"/>
      <c r="N90" s="15" t="n"/>
      <c r="O90" s="15" t="n"/>
      <c r="P90" s="15" t="n"/>
    </row>
    <row r="91">
      <c r="A91" s="15" t="n"/>
      <c r="B91" s="15" t="n"/>
      <c r="C91" s="15" t="n"/>
      <c r="D91" s="15" t="n"/>
      <c r="E91" s="15" t="n"/>
      <c r="F91" s="15" t="n"/>
      <c r="G91" s="15" t="n"/>
      <c r="H91" s="15" t="n"/>
      <c r="I91" s="15" t="n"/>
      <c r="J91" s="15" t="n"/>
      <c r="K91" s="15" t="n"/>
      <c r="L91" s="15" t="n"/>
      <c r="M91" s="15" t="n"/>
      <c r="N91" s="15" t="n"/>
      <c r="O91" s="15" t="n"/>
      <c r="P91" s="15" t="n"/>
    </row>
    <row r="92">
      <c r="A92" s="15" t="n"/>
      <c r="B92" s="15" t="n"/>
      <c r="C92" s="15" t="n"/>
      <c r="D92" s="15" t="n"/>
      <c r="E92" s="15" t="n"/>
      <c r="F92" s="15" t="n"/>
      <c r="G92" s="15" t="n"/>
      <c r="H92" s="15" t="n"/>
      <c r="I92" s="15" t="n"/>
      <c r="J92" s="15" t="n"/>
      <c r="K92" s="15" t="n"/>
      <c r="L92" s="15" t="n"/>
      <c r="M92" s="15" t="n"/>
      <c r="N92" s="15" t="n"/>
      <c r="O92" s="15" t="n"/>
      <c r="P92" s="15" t="n"/>
    </row>
    <row r="93">
      <c r="A93" s="15" t="n"/>
      <c r="B93" s="15" t="n"/>
      <c r="C93" s="15" t="n"/>
      <c r="D93" s="15" t="n"/>
      <c r="E93" s="15" t="n"/>
      <c r="F93" s="15" t="n"/>
      <c r="G93" s="15" t="n"/>
      <c r="H93" s="15" t="n"/>
      <c r="I93" s="15" t="n"/>
      <c r="J93" s="15" t="n"/>
      <c r="K93" s="15" t="n"/>
      <c r="L93" s="15" t="n"/>
      <c r="M93" s="15" t="n"/>
      <c r="N93" s="15" t="n"/>
      <c r="O93" s="15" t="n"/>
      <c r="P93" s="15" t="n"/>
    </row>
    <row r="94">
      <c r="A94" s="15" t="n"/>
      <c r="B94" s="15" t="n"/>
      <c r="C94" s="15" t="n"/>
      <c r="D94" s="15" t="n"/>
      <c r="E94" s="15" t="n"/>
      <c r="F94" s="15" t="n"/>
      <c r="G94" s="15" t="n"/>
      <c r="H94" s="15" t="n"/>
      <c r="I94" s="15" t="n"/>
      <c r="J94" s="15" t="n"/>
      <c r="K94" s="15" t="n"/>
      <c r="L94" s="15" t="n"/>
      <c r="M94" s="15" t="n"/>
      <c r="N94" s="15" t="n"/>
      <c r="O94" s="15" t="n"/>
      <c r="P94" s="15" t="n"/>
    </row>
    <row r="95">
      <c r="A95" s="15" t="n"/>
      <c r="B95" s="15" t="n"/>
      <c r="C95" s="15" t="n"/>
      <c r="D95" s="15" t="n"/>
      <c r="E95" s="15" t="n"/>
      <c r="F95" s="15" t="n"/>
      <c r="G95" s="15" t="n"/>
      <c r="H95" s="15" t="n"/>
      <c r="I95" s="15" t="n"/>
      <c r="J95" s="15" t="n"/>
      <c r="K95" s="15" t="n"/>
      <c r="L95" s="15" t="n"/>
      <c r="M95" s="15" t="n"/>
      <c r="N95" s="15" t="n"/>
      <c r="O95" s="15" t="n"/>
      <c r="P95" s="15" t="n"/>
    </row>
    <row r="96">
      <c r="A96" s="15" t="n"/>
      <c r="B96" s="15" t="n"/>
      <c r="C96" s="15" t="n"/>
      <c r="D96" s="15" t="n"/>
      <c r="E96" s="15" t="n"/>
      <c r="F96" s="15" t="n"/>
      <c r="G96" s="15" t="n"/>
      <c r="H96" s="15" t="n"/>
      <c r="I96" s="15" t="n"/>
      <c r="J96" s="15" t="n"/>
      <c r="K96" s="15" t="n"/>
      <c r="L96" s="15" t="n"/>
      <c r="M96" s="15" t="n"/>
      <c r="N96" s="15" t="n"/>
      <c r="O96" s="15" t="n"/>
      <c r="P96" s="15" t="n"/>
    </row>
    <row r="97">
      <c r="A97" s="15" t="n"/>
      <c r="B97" s="15" t="n"/>
      <c r="C97" s="15" t="n"/>
      <c r="D97" s="15" t="n"/>
      <c r="E97" s="15" t="n"/>
      <c r="F97" s="15" t="n"/>
      <c r="G97" s="15" t="n"/>
      <c r="H97" s="15" t="n"/>
      <c r="I97" s="15" t="n"/>
      <c r="J97" s="15" t="n"/>
      <c r="K97" s="15" t="n"/>
      <c r="L97" s="15" t="n"/>
      <c r="M97" s="15" t="n"/>
      <c r="N97" s="15" t="n"/>
      <c r="O97" s="15" t="n"/>
      <c r="P97" s="15" t="n"/>
    </row>
    <row r="98">
      <c r="A98" s="15" t="n"/>
      <c r="B98" s="15" t="n"/>
      <c r="C98" s="15" t="n"/>
      <c r="D98" s="15" t="n"/>
      <c r="E98" s="15" t="n"/>
      <c r="F98" s="15" t="n"/>
      <c r="G98" s="15" t="n"/>
      <c r="H98" s="15" t="n"/>
      <c r="I98" s="15" t="n"/>
      <c r="J98" s="15" t="n"/>
      <c r="K98" s="15" t="n"/>
      <c r="L98" s="15" t="n"/>
      <c r="M98" s="15" t="n"/>
      <c r="N98" s="15" t="n"/>
      <c r="O98" s="15" t="n"/>
      <c r="P98" s="15" t="n"/>
    </row>
    <row r="99">
      <c r="A99" s="15" t="n"/>
      <c r="B99" s="15" t="n"/>
      <c r="C99" s="15" t="n"/>
      <c r="D99" s="15" t="n"/>
      <c r="E99" s="15" t="n"/>
      <c r="F99" s="15" t="n"/>
      <c r="G99" s="15" t="n"/>
      <c r="H99" s="15" t="n"/>
      <c r="I99" s="15" t="n"/>
      <c r="J99" s="15" t="n"/>
      <c r="K99" s="15" t="n"/>
      <c r="L99" s="15" t="n"/>
      <c r="M99" s="15" t="n"/>
      <c r="N99" s="15" t="n"/>
      <c r="O99" s="15" t="n"/>
      <c r="P99" s="15" t="n"/>
    </row>
    <row r="100">
      <c r="A100" s="15" t="n"/>
      <c r="B100" s="15" t="n"/>
      <c r="C100" s="15" t="n"/>
      <c r="D100" s="15" t="n"/>
      <c r="E100" s="15" t="n"/>
      <c r="F100" s="15" t="n"/>
      <c r="G100" s="15" t="n"/>
      <c r="H100" s="15" t="n"/>
      <c r="I100" s="15" t="n"/>
      <c r="J100" s="15" t="n"/>
      <c r="K100" s="15" t="n"/>
      <c r="L100" s="15" t="n"/>
      <c r="M100" s="15" t="n"/>
      <c r="N100" s="15" t="n"/>
      <c r="O100" s="15" t="n"/>
      <c r="P100" s="15" t="n"/>
    </row>
    <row r="101">
      <c r="A101" s="15" t="n"/>
      <c r="B101" s="15" t="n"/>
      <c r="C101" s="15" t="n"/>
      <c r="D101" s="15" t="n"/>
      <c r="E101" s="15" t="n"/>
      <c r="F101" s="15" t="n"/>
      <c r="G101" s="15" t="n"/>
      <c r="H101" s="15" t="n"/>
      <c r="I101" s="15" t="n"/>
      <c r="J101" s="15" t="n"/>
      <c r="K101" s="15" t="n"/>
      <c r="L101" s="15" t="n"/>
      <c r="M101" s="15" t="n"/>
      <c r="N101" s="15" t="n"/>
      <c r="O101" s="15" t="n"/>
      <c r="P101" s="15" t="n"/>
    </row>
    <row r="102">
      <c r="A102" s="15" t="n"/>
      <c r="B102" s="15" t="n"/>
      <c r="C102" s="15" t="n"/>
      <c r="D102" s="15" t="n"/>
      <c r="E102" s="15" t="n"/>
      <c r="F102" s="15" t="n"/>
      <c r="G102" s="15" t="n"/>
      <c r="H102" s="15" t="n"/>
      <c r="I102" s="15" t="n"/>
      <c r="J102" s="15" t="n"/>
      <c r="K102" s="15" t="n"/>
      <c r="L102" s="15" t="n"/>
      <c r="M102" s="15" t="n"/>
      <c r="N102" s="15" t="n"/>
      <c r="O102" s="15" t="n"/>
      <c r="P102" s="15" t="n"/>
    </row>
    <row r="103">
      <c r="A103" s="15" t="n"/>
      <c r="B103" s="15" t="n"/>
      <c r="C103" s="15" t="n"/>
      <c r="D103" s="15" t="n"/>
      <c r="E103" s="15" t="n"/>
      <c r="F103" s="15" t="n"/>
      <c r="G103" s="15" t="n"/>
      <c r="H103" s="15" t="n"/>
      <c r="I103" s="15" t="n"/>
      <c r="J103" s="15" t="n"/>
      <c r="K103" s="15" t="n"/>
      <c r="L103" s="15" t="n"/>
      <c r="M103" s="15" t="n"/>
      <c r="N103" s="15" t="n"/>
      <c r="O103" s="15" t="n"/>
      <c r="P103" s="15" t="n"/>
    </row>
    <row r="104">
      <c r="A104" s="15" t="n"/>
      <c r="B104" s="15" t="n"/>
      <c r="C104" s="15" t="n"/>
      <c r="D104" s="15" t="n"/>
      <c r="E104" s="15" t="n"/>
      <c r="F104" s="15" t="n"/>
      <c r="G104" s="15" t="n"/>
      <c r="H104" s="15" t="n"/>
      <c r="I104" s="15" t="n"/>
      <c r="J104" s="15" t="n"/>
      <c r="K104" s="15" t="n"/>
      <c r="L104" s="15" t="n"/>
      <c r="M104" s="15" t="n"/>
      <c r="N104" s="15" t="n"/>
      <c r="O104" s="15" t="n"/>
      <c r="P104" s="15" t="n"/>
    </row>
  </sheetData>
  <mergeCells count="2">
    <mergeCell ref="A1:P1"/>
    <mergeCell ref="A2:P2"/>
  </mergeCells>
  <dataValidations count="3">
    <dataValidation sqref="E5:E500" showDropDown="0" showInputMessage="0" showErrorMessage="0" allowBlank="1" errorTitle="Giá trị không hợp lệ" error="Vui lòng chọn một giá trị trong danh sách." promptTitle="Trường chuẩn hóa" prompt="Chọn từ danh sách." type="list">
      <formula1>=SourceType</formula1>
    </dataValidation>
    <dataValidation sqref="N5:N500" showDropDown="0" showInputMessage="0" showErrorMessage="0" allowBlank="1" errorTitle="Giá trị không hợp lệ" error="Vui lòng chọn một giá trị trong danh sách." promptTitle="Trường chuẩn hóa" prompt="Chọn từ danh sách." type="list">
      <formula1>=Cadence</formula1>
    </dataValidation>
    <dataValidation sqref="O5:O500" showDropDown="0" showInputMessage="0" showErrorMessage="0" allowBlank="1" errorTitle="Giá trị không hợp lệ" error="Vui lòng chọn một giá trị trong danh sách." promptTitle="Trường chuẩn hóa" prompt="Chọn từ danh sách." type="list">
      <formula1>=YesNo</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R50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3" customWidth="1" min="3" max="3"/>
    <col width="14" customWidth="1" min="4" max="4"/>
    <col width="42" customWidth="1" min="5" max="5"/>
    <col width="21" customWidth="1" min="6" max="6"/>
    <col width="24" customWidth="1" min="7" max="7"/>
    <col width="14" customWidth="1" min="8" max="8"/>
    <col width="42" customWidth="1" min="9" max="9"/>
    <col width="13" customWidth="1" min="10" max="10"/>
    <col width="17" customWidth="1" min="11" max="11"/>
    <col width="11" customWidth="1" min="12" max="12"/>
    <col width="16" customWidth="1" min="13" max="13"/>
    <col width="21" customWidth="1" min="14" max="14"/>
    <col width="16" customWidth="1" min="15" max="15"/>
    <col width="16" customWidth="1" min="16" max="16"/>
    <col width="16" customWidth="1" min="17" max="17"/>
    <col width="35" customWidth="1" min="18" max="18"/>
  </cols>
  <sheetData>
    <row r="1" ht="28" customHeight="1">
      <c r="A1" s="1" t="inlineStr">
        <is>
          <t>EVIDENCE INBOX</t>
        </is>
      </c>
    </row>
    <row r="2" ht="34" customHeight="1">
      <c r="A2" s="2" t="inlineStr">
        <is>
          <t>Mọi tín hiệu mới vào đây trước khi thẩm định. Deadline tự tính theo SLA đề xuất: P0 cùng ngày, P1 +7, P2 +30, P3 +90 ngày.</t>
        </is>
      </c>
    </row>
    <row r="4" ht="38" customHeight="1">
      <c r="A4" s="3" t="inlineStr">
        <is>
          <t>Mã tín hiệu</t>
        </is>
      </c>
      <c r="B4" s="3" t="inlineStr">
        <is>
          <t>Ngày phát hiện</t>
        </is>
      </c>
      <c r="C4" s="3" t="inlineStr">
        <is>
          <t>Mã dự án</t>
        </is>
      </c>
      <c r="D4" s="3" t="inlineStr">
        <is>
          <t>Mã câu hỏi</t>
        </is>
      </c>
      <c r="E4" s="3" t="inlineStr">
        <is>
          <t>Tiêu đề</t>
        </is>
      </c>
      <c r="F4" s="3" t="inlineStr">
        <is>
          <t>Loại nguồn</t>
        </is>
      </c>
      <c r="G4" s="3" t="inlineStr">
        <is>
          <t>DOI</t>
        </is>
      </c>
      <c r="H4" s="3" t="inlineStr">
        <is>
          <t>PMID</t>
        </is>
      </c>
      <c r="I4" s="3" t="inlineStr">
        <is>
          <t>URL</t>
        </is>
      </c>
      <c r="J4" s="3" t="inlineStr">
        <is>
          <t>Trùng lặp</t>
        </is>
      </c>
      <c r="K4" s="3" t="inlineStr">
        <is>
          <t>Phạm vi</t>
        </is>
      </c>
      <c r="L4" s="3" t="inlineStr">
        <is>
          <t>Ưu tiên</t>
        </is>
      </c>
      <c r="M4" s="3" t="inlineStr">
        <is>
          <t>Trạng thái</t>
        </is>
      </c>
      <c r="N4" s="3" t="inlineStr">
        <is>
          <t>Người xử lý</t>
        </is>
      </c>
      <c r="O4" s="3" t="inlineStr">
        <is>
          <t>Deadline SLA</t>
        </is>
      </c>
      <c r="P4" s="3" t="inlineStr">
        <is>
          <t>Ngày hoàn tất</t>
        </is>
      </c>
      <c r="Q4" s="3" t="inlineStr">
        <is>
          <t>Số ngày xử lý</t>
        </is>
      </c>
      <c r="R4" s="3" t="inlineStr">
        <is>
          <t>Ghi chú</t>
        </is>
      </c>
    </row>
    <row r="5">
      <c r="A5" s="15" t="inlineStr">
        <is>
          <t>SIG-CARD-2026-001</t>
        </is>
      </c>
      <c r="B5" s="41" t="n">
        <v>46265</v>
      </c>
      <c r="C5" s="15" t="inlineStr">
        <is>
          <t>PRJ-CARD</t>
        </is>
      </c>
      <c r="D5" s="15" t="inlineStr">
        <is>
          <t>Q-CARD-01</t>
        </is>
      </c>
      <c r="E5" s="15" t="inlineStr">
        <is>
          <t>Baseline DRAFT: 2024 ESC Guidelines for the management of elevated blood pressure and hypertension</t>
        </is>
      </c>
      <c r="F5" s="15" t="inlineStr">
        <is>
          <t>Guideline</t>
        </is>
      </c>
      <c r="G5" s="15" t="inlineStr">
        <is>
          <t>10.1093/eurheartj/ehae178</t>
        </is>
      </c>
      <c r="H5" s="15" t="inlineStr">
        <is>
          <t>39210715</t>
        </is>
      </c>
      <c r="I5" s="15" t="inlineStr">
        <is>
          <t>https://www.escardio.org/guidelines/clinical-practice-guidelines/all-esc-practice-guidelines/elevated-blood-pressure-and-hypertension/</t>
        </is>
      </c>
      <c r="J5" s="15" t="inlineStr">
        <is>
          <t>Không</t>
        </is>
      </c>
      <c r="K5" s="15" t="inlineStr">
        <is>
          <t>Trong phạm vi</t>
        </is>
      </c>
      <c r="L5" s="15" t="inlineStr">
        <is>
          <t>P2</t>
        </is>
      </c>
      <c r="M5" s="15" t="inlineStr">
        <is>
          <t>Chờ duyệt</t>
        </is>
      </c>
      <c r="N5" s="15" t="inlineStr">
        <is>
          <t>Người dùng — tự phụ trách</t>
        </is>
      </c>
      <c r="O5" s="15">
        <f>IF(OR(B5="",L5=""),"",B5+IF(L5="P0",0,IF(L5="P1",7,IF(L5="P2",30,90))))</f>
        <v/>
      </c>
      <c r="P5" s="15" t="n"/>
      <c r="Q5" s="15">
        <f>IF(B5="","",IF(P5&lt;&gt;"",P5-B5,TODAY()-B5))</f>
        <v/>
      </c>
      <c r="R5" s="15" t="inlineStr">
        <is>
          <t>BASELINE DRAFT — CHƯA DUYỆT; không phải quyết định thay đổi thực hành.</t>
        </is>
      </c>
    </row>
    <row r="6">
      <c r="A6" s="15" t="inlineStr">
        <is>
          <t>SIG-CARD-2026-002</t>
        </is>
      </c>
      <c r="B6" s="41" t="n">
        <v>46265</v>
      </c>
      <c r="C6" s="15" t="inlineStr">
        <is>
          <t>PRJ-CARD</t>
        </is>
      </c>
      <c r="D6" s="15" t="inlineStr">
        <is>
          <t>Q-CARD-02</t>
        </is>
      </c>
      <c r="E6" s="15" t="inlineStr">
        <is>
          <t>Baseline DRAFT: 2025 Focused Update of the 2019 ESC/EAS Guidelines for dyslipidaemias</t>
        </is>
      </c>
      <c r="F6" s="15" t="inlineStr">
        <is>
          <t>Guideline</t>
        </is>
      </c>
      <c r="G6" s="15" t="inlineStr">
        <is>
          <t>10.1093/eurheartj/ehaf190</t>
        </is>
      </c>
      <c r="H6" s="15" t="inlineStr">
        <is>
          <t>40878289</t>
        </is>
      </c>
      <c r="I6" s="15" t="inlineStr">
        <is>
          <t>https://www.escardio.org/news/news-room/congress-news/2025-focused-update-dyslipidaemias/</t>
        </is>
      </c>
      <c r="J6" s="15" t="inlineStr">
        <is>
          <t>Không</t>
        </is>
      </c>
      <c r="K6" s="15" t="inlineStr">
        <is>
          <t>Trong phạm vi</t>
        </is>
      </c>
      <c r="L6" s="15" t="inlineStr">
        <is>
          <t>P2</t>
        </is>
      </c>
      <c r="M6" s="15" t="inlineStr">
        <is>
          <t>Chờ duyệt</t>
        </is>
      </c>
      <c r="N6" s="15" t="inlineStr">
        <is>
          <t>Người dùng — tự phụ trách</t>
        </is>
      </c>
      <c r="O6" s="15">
        <f>IF(OR(B6="",L6=""),"",B6+IF(L6="P0",0,IF(L6="P1",7,IF(L6="P2",30,90))))</f>
        <v/>
      </c>
      <c r="P6" s="15" t="n"/>
      <c r="Q6" s="15">
        <f>IF(B6="","",IF(P6&lt;&gt;"",P6-B6,TODAY()-B6))</f>
        <v/>
      </c>
      <c r="R6" s="15" t="inlineStr">
        <is>
          <t>BASELINE DRAFT — CHƯA DUYỆT; không phải quyết định thay đổi thực hành.</t>
        </is>
      </c>
    </row>
    <row r="7">
      <c r="A7" s="15" t="inlineStr">
        <is>
          <t>SIG-CARD-2026-003</t>
        </is>
      </c>
      <c r="B7" s="41" t="n">
        <v>46265</v>
      </c>
      <c r="C7" s="15" t="inlineStr">
        <is>
          <t>PRJ-CARD</t>
        </is>
      </c>
      <c r="D7" s="15" t="inlineStr">
        <is>
          <t>Q-CARD-03</t>
        </is>
      </c>
      <c r="E7" s="15" t="inlineStr">
        <is>
          <t>Baseline DRAFT: 2024 ESC Guidelines for the management of atrial fibrillation</t>
        </is>
      </c>
      <c r="F7" s="15" t="inlineStr">
        <is>
          <t>Guideline</t>
        </is>
      </c>
      <c r="G7" s="15" t="inlineStr">
        <is>
          <t>10.1093/eurheartj/ehae176</t>
        </is>
      </c>
      <c r="H7" s="15" t="inlineStr">
        <is>
          <t>39210723</t>
        </is>
      </c>
      <c r="I7" s="15" t="inlineStr">
        <is>
          <t>https://www.escardio.org/guidelines/clinical-practice-guidelines/all-esc-practice-guidelines/atrial-fibrillation/</t>
        </is>
      </c>
      <c r="J7" s="15" t="inlineStr">
        <is>
          <t>Không</t>
        </is>
      </c>
      <c r="K7" s="15" t="inlineStr">
        <is>
          <t>Trong phạm vi</t>
        </is>
      </c>
      <c r="L7" s="15" t="inlineStr">
        <is>
          <t>P2</t>
        </is>
      </c>
      <c r="M7" s="15" t="inlineStr">
        <is>
          <t>Chờ duyệt</t>
        </is>
      </c>
      <c r="N7" s="15" t="inlineStr">
        <is>
          <t>Người dùng — tự phụ trách</t>
        </is>
      </c>
      <c r="O7" s="15">
        <f>IF(OR(B7="",L7=""),"",B7+IF(L7="P0",0,IF(L7="P1",7,IF(L7="P2",30,90))))</f>
        <v/>
      </c>
      <c r="P7" s="15" t="n"/>
      <c r="Q7" s="15">
        <f>IF(B7="","",IF(P7&lt;&gt;"",P7-B7,TODAY()-B7))</f>
        <v/>
      </c>
      <c r="R7" s="15" t="inlineStr">
        <is>
          <t>BASELINE DRAFT — CHƯA DUYỆT; không phải quyết định thay đổi thực hành.</t>
        </is>
      </c>
    </row>
    <row r="8">
      <c r="A8" s="15" t="inlineStr">
        <is>
          <t>SIG-CARD-2026-004</t>
        </is>
      </c>
      <c r="B8" s="41" t="n">
        <v>46265</v>
      </c>
      <c r="C8" s="15" t="inlineStr">
        <is>
          <t>PRJ-CARD</t>
        </is>
      </c>
      <c r="D8" s="15" t="inlineStr">
        <is>
          <t>Q-CARD-04</t>
        </is>
      </c>
      <c r="E8" s="15" t="inlineStr">
        <is>
          <t>Baseline DRAFT: 2024 ESC Guidelines for the management of chronic coronary syndromes</t>
        </is>
      </c>
      <c r="F8" s="15" t="inlineStr">
        <is>
          <t>Guideline</t>
        </is>
      </c>
      <c r="G8" s="15" t="inlineStr">
        <is>
          <t>10.1093/eurheartj/ehae177</t>
        </is>
      </c>
      <c r="H8" s="15" t="inlineStr">
        <is>
          <t>39210710</t>
        </is>
      </c>
      <c r="I8" s="15" t="inlineStr">
        <is>
          <t>https://www.escardio.org/guidelines/clinical-practice-guidelines/all-esc-practice-guidelines/chronic-coronary-syndromes/</t>
        </is>
      </c>
      <c r="J8" s="15" t="inlineStr">
        <is>
          <t>Không</t>
        </is>
      </c>
      <c r="K8" s="15" t="inlineStr">
        <is>
          <t>Trong phạm vi</t>
        </is>
      </c>
      <c r="L8" s="15" t="inlineStr">
        <is>
          <t>P3</t>
        </is>
      </c>
      <c r="M8" s="15" t="inlineStr">
        <is>
          <t>Chờ duyệt</t>
        </is>
      </c>
      <c r="N8" s="15" t="inlineStr">
        <is>
          <t>Người dùng — tự phụ trách</t>
        </is>
      </c>
      <c r="O8" s="15">
        <f>IF(OR(B8="",L8=""),"",B8+IF(L8="P0",0,IF(L8="P1",7,IF(L8="P2",30,90))))</f>
        <v/>
      </c>
      <c r="P8" s="15" t="n"/>
      <c r="Q8" s="15">
        <f>IF(B8="","",IF(P8&lt;&gt;"",P8-B8,TODAY()-B8))</f>
        <v/>
      </c>
      <c r="R8" s="15" t="inlineStr">
        <is>
          <t>BASELINE DRAFT — CHƯA DUYỆT; không phải quyết định thay đổi thực hành.</t>
        </is>
      </c>
    </row>
    <row r="9">
      <c r="A9" s="15" t="inlineStr">
        <is>
          <t>SIG-CARD-2026-005</t>
        </is>
      </c>
      <c r="B9" s="41" t="n">
        <v>46265</v>
      </c>
      <c r="C9" s="15" t="inlineStr">
        <is>
          <t>PRJ-CARD</t>
        </is>
      </c>
      <c r="D9" s="15" t="inlineStr">
        <is>
          <t>Q-CARD-05</t>
        </is>
      </c>
      <c r="E9" s="15" t="inlineStr">
        <is>
          <t>Baseline DRAFT: 2023 Focused Update of the 2021 ESC Guidelines for heart failure</t>
        </is>
      </c>
      <c r="F9" s="15" t="inlineStr">
        <is>
          <t>Guideline</t>
        </is>
      </c>
      <c r="G9" s="15" t="inlineStr">
        <is>
          <t>10.1093/eurheartj/ehad195</t>
        </is>
      </c>
      <c r="H9" s="15" t="inlineStr">
        <is>
          <t>37622666</t>
        </is>
      </c>
      <c r="I9" s="15" t="inlineStr">
        <is>
          <t>https://www.escardio.org/guidelines/clinical-practice-guidelines/all-esc-practice-guidelines/focused-update-on-heart-failure/</t>
        </is>
      </c>
      <c r="J9" s="15" t="inlineStr">
        <is>
          <t>Không</t>
        </is>
      </c>
      <c r="K9" s="15" t="inlineStr">
        <is>
          <t>Trong phạm vi</t>
        </is>
      </c>
      <c r="L9" s="15" t="inlineStr">
        <is>
          <t>P3</t>
        </is>
      </c>
      <c r="M9" s="15" t="inlineStr">
        <is>
          <t>Chờ duyệt</t>
        </is>
      </c>
      <c r="N9" s="15" t="inlineStr">
        <is>
          <t>Người dùng — tự phụ trách</t>
        </is>
      </c>
      <c r="O9" s="15">
        <f>IF(OR(B9="",L9=""),"",B9+IF(L9="P0",0,IF(L9="P1",7,IF(L9="P2",30,90))))</f>
        <v/>
      </c>
      <c r="P9" s="15" t="n"/>
      <c r="Q9" s="15">
        <f>IF(B9="","",IF(P9&lt;&gt;"",P9-B9,TODAY()-B9))</f>
        <v/>
      </c>
      <c r="R9" s="15" t="inlineStr">
        <is>
          <t>BASELINE DRAFT — CHƯA DUYỆT; không phải quyết định thay đổi thực hành.</t>
        </is>
      </c>
    </row>
    <row r="10">
      <c r="A10" s="15" t="inlineStr">
        <is>
          <t>SIG-CARD-2026-006</t>
        </is>
      </c>
      <c r="B10" s="41" t="n">
        <v>46265</v>
      </c>
      <c r="C10" s="15" t="inlineStr">
        <is>
          <t>PRJ-CARD</t>
        </is>
      </c>
      <c r="D10" s="15" t="inlineStr">
        <is>
          <t>Q-CARD-06</t>
        </is>
      </c>
      <c r="E10" s="15" t="inlineStr">
        <is>
          <t>Baseline DRAFT: 2018 ESC Guidelines for the diagnosis and management of syncope</t>
        </is>
      </c>
      <c r="F10" s="15" t="inlineStr">
        <is>
          <t>Guideline</t>
        </is>
      </c>
      <c r="G10" s="15" t="inlineStr">
        <is>
          <t>10.1093/eurheartj/ehy037</t>
        </is>
      </c>
      <c r="H10" s="15" t="inlineStr">
        <is>
          <t>29562304</t>
        </is>
      </c>
      <c r="I10" s="15" t="inlineStr">
        <is>
          <t>https://www.escardio.org/guidelines/clinical-practice-guidelines/pocket-guidelines/diagnosis-and-management-of-syncope/</t>
        </is>
      </c>
      <c r="J10" s="15" t="inlineStr">
        <is>
          <t>Không</t>
        </is>
      </c>
      <c r="K10" s="15" t="inlineStr">
        <is>
          <t>Trong phạm vi</t>
        </is>
      </c>
      <c r="L10" s="15" t="inlineStr">
        <is>
          <t>P3</t>
        </is>
      </c>
      <c r="M10" s="15" t="inlineStr">
        <is>
          <t>Chờ duyệt</t>
        </is>
      </c>
      <c r="N10" s="15" t="inlineStr">
        <is>
          <t>Người dùng — tự phụ trách</t>
        </is>
      </c>
      <c r="O10" s="15">
        <f>IF(OR(B10="",L10=""),"",B10+IF(L10="P0",0,IF(L10="P1",7,IF(L10="P2",30,90))))</f>
        <v/>
      </c>
      <c r="P10" s="15" t="n"/>
      <c r="Q10" s="15">
        <f>IF(B10="","",IF(P10&lt;&gt;"",P10-B10,TODAY()-B10))</f>
        <v/>
      </c>
      <c r="R10" s="15" t="inlineStr">
        <is>
          <t>BASELINE DRAFT — CHƯA DUYỆT; không phải quyết định thay đổi thực hành.</t>
        </is>
      </c>
    </row>
    <row r="11">
      <c r="A11" s="15" t="inlineStr">
        <is>
          <t>SIG-GLOBAL-2026-001</t>
        </is>
      </c>
      <c r="B11" s="41" t="n">
        <v>46265</v>
      </c>
      <c r="C11" s="15" t="inlineStr">
        <is>
          <t>PRJ-ENDO</t>
        </is>
      </c>
      <c r="D11" s="15" t="inlineStr">
        <is>
          <t>Q-ENDO-04</t>
        </is>
      </c>
      <c r="E11" s="15" t="inlineStr">
        <is>
          <t>FDA: thu hồi một lô Thyroid Tablets USP 30 mg do nguy cơ quá hàm lượng</t>
        </is>
      </c>
      <c r="F11" s="15" t="inlineStr">
        <is>
          <t>An toàn thuốc</t>
        </is>
      </c>
      <c r="G11" s="15" t="n"/>
      <c r="H11" s="15" t="n"/>
      <c r="I11" s="15" t="inlineStr">
        <is>
          <t>https://www.fda.gov/safety/recalls-market-withdrawals-safety-alerts/vitruvias-therapeutics-inc-issues-nationwide-recall-one-lot-thyroid-tablets-usp-30-mg-due-potential</t>
        </is>
      </c>
      <c r="J11" s="15" t="inlineStr">
        <is>
          <t>Không</t>
        </is>
      </c>
      <c r="K11" s="15" t="inlineStr">
        <is>
          <t>Chờ làm rõ</t>
        </is>
      </c>
      <c r="L11" s="15" t="inlineStr">
        <is>
          <t>P2</t>
        </is>
      </c>
      <c r="M11" s="15" t="inlineStr">
        <is>
          <t>Mở</t>
        </is>
      </c>
      <c r="N11" s="15" t="inlineStr">
        <is>
          <t>Người dùng — tự phụ trách</t>
        </is>
      </c>
      <c r="O11" s="15">
        <f>IF(OR(B11="",L11=""),"",B11+IF(L11="P0",0,IF(L11="P1",7,IF(L11="P2",30,90))))</f>
        <v/>
      </c>
      <c r="P11" s="15" t="n"/>
      <c r="Q11" s="15">
        <f>IF(B11="","",IF(P11&lt;&gt;"",P11-B11,TODAY()-B11))</f>
        <v/>
      </c>
      <c r="R11" s="15" t="inlineStr">
        <is>
          <t>DRAFT — CHƯA DUYỆT · thông báo FDA ngày 24/08/2026, giới hạn theo lô/thị trường Hoa Kỳ; [CẦN XÁC MINH PHẠM VI VN] trước mọi hành động.</t>
        </is>
      </c>
    </row>
    <row r="12">
      <c r="A12" s="15" t="inlineStr">
        <is>
          <t>SIG-CARD-2026-007</t>
        </is>
      </c>
      <c r="B12" s="42" t="n">
        <v>46266</v>
      </c>
      <c r="C12" s="15" t="inlineStr">
        <is>
          <t>PRJ-CARD</t>
        </is>
      </c>
      <c r="D12" s="15" t="inlineStr">
        <is>
          <t>Q-CARD-05</t>
        </is>
      </c>
      <c r="E12" s="15" t="inlineStr">
        <is>
          <t>Nguồn mới: 2026 ESC Guidelines for the management of heart failure</t>
        </is>
      </c>
      <c r="F12" s="15" t="inlineStr">
        <is>
          <t>Guideline</t>
        </is>
      </c>
      <c r="G12" s="15" t="inlineStr">
        <is>
          <t>10.1093/eurheartj/ehag100</t>
        </is>
      </c>
      <c r="H12" s="15" t="inlineStr">
        <is>
          <t>Chưa thấy chỉ mục 01/09/2026</t>
        </is>
      </c>
      <c r="I12" s="15" t="inlineStr">
        <is>
          <t>https://www.escardio.org/guidelines/clinical-practice-guidelines/all-esc-practice-guidelines/heart-failure/</t>
        </is>
      </c>
      <c r="J12" s="15" t="inlineStr">
        <is>
          <t>Không</t>
        </is>
      </c>
      <c r="K12" s="15" t="inlineStr">
        <is>
          <t>Trong phạm vi</t>
        </is>
      </c>
      <c r="L12" s="15" t="inlineStr">
        <is>
          <t>P2</t>
        </is>
      </c>
      <c r="M12" s="15" t="inlineStr">
        <is>
          <t>Chờ duyệt</t>
        </is>
      </c>
      <c r="N12" s="15" t="inlineStr">
        <is>
          <t>Người dùng — tự phụ trách</t>
        </is>
      </c>
      <c r="O12" s="15">
        <f>IF(OR(B12="",L12=""),"",B12+IF(L12="P0",0,IF(L12="P1",7,IF(L12="P2",30,90))))</f>
        <v/>
      </c>
      <c r="P12" s="15" t="n"/>
      <c r="Q12" s="15">
        <f>IF(B12="","",IF(P12&lt;&gt;"",P12-B12,TODAY()-B12))</f>
        <v/>
      </c>
      <c r="R12" s="15" t="inlineStr">
        <is>
          <t>DRAFT — CHƯA DUYỆT · cần đối chiếu guideline 2026 với baseline 2021/2023; không tự đổi thực hành.</t>
        </is>
      </c>
    </row>
    <row r="13">
      <c r="A13" s="15" t="inlineStr">
        <is>
          <t>SIG-ENDO-2026-001</t>
        </is>
      </c>
      <c r="B13" s="43" t="n">
        <v>46272</v>
      </c>
      <c r="C13" s="15" t="inlineStr">
        <is>
          <t>PRJ-ENDO</t>
        </is>
      </c>
      <c r="D13" s="15" t="inlineStr">
        <is>
          <t>Q-ENDO-01</t>
        </is>
      </c>
      <c r="E13" s="15" t="inlineStr">
        <is>
          <t>Baseline DRAFT 2026 — Sàng lọc và chẩn đoán tiền đái tháo đường, đái tháo đường type 2</t>
        </is>
      </c>
      <c r="F13" s="15" t="inlineStr">
        <is>
          <t>Baseline đa nguồn</t>
        </is>
      </c>
      <c r="G13" s="15" t="inlineStr">
        <is>
          <t>ADA Standards of Care 2026, Sections 2–3; DPP, NEJM 2002</t>
        </is>
      </c>
      <c r="H13" s="15" t="inlineStr">
        <is>
          <t>PMID 41358893; PMID 41358891; PMID 11832527; DOI 10.1056/NEJMoa012512</t>
        </is>
      </c>
      <c r="I13" s="15" t="inlineStr">
        <is>
          <t>Đã trích kết cục và giới hạn áp dụng; cần người dùng duyệt trước mọi thay đổi thực hành.</t>
        </is>
      </c>
      <c r="J13" s="15" t="inlineStr">
        <is>
          <t>WATCH — chưa thay đổi thực hành</t>
        </is>
      </c>
      <c r="K13" s="15" t="inlineStr">
        <is>
          <t>CẦN BÁC SĨ PHÁN ĐỊNH</t>
        </is>
      </c>
      <c r="L13" s="15" t="inlineStr">
        <is>
          <t>P2</t>
        </is>
      </c>
      <c r="M13" s="15" t="inlineStr">
        <is>
          <t>Người dùng — Trưởng chuyên ngành Nội tiết</t>
        </is>
      </c>
      <c r="N13" s="15" t="inlineStr">
        <is>
          <t>Chờ duyệt</t>
        </is>
      </c>
      <c r="O13" s="43">
        <f>IF(OR(B13="",L13=""),"",B13+IF(L13="P0",0,IF(L13="P1",7,IF(L13="P2",30,90))))</f>
        <v/>
      </c>
      <c r="P13" s="15" t="n"/>
      <c r="Q13" s="15">
        <f>IF(B13="","",IF(P13&lt;&gt;"",P13-B13,TODAY()-B13))</f>
        <v/>
      </c>
      <c r="R13" s="15" t="inlineStr">
        <is>
          <t>DRAFT — CHƯA DUYỆT; không tự gán GRADE; không có PII.</t>
        </is>
      </c>
    </row>
    <row r="14">
      <c r="A14" s="15" t="inlineStr">
        <is>
          <t>SIG-ENDO-2026-002</t>
        </is>
      </c>
      <c r="B14" s="43" t="n">
        <v>46272</v>
      </c>
      <c r="C14" s="15" t="inlineStr">
        <is>
          <t>PRJ-ENDO</t>
        </is>
      </c>
      <c r="D14" s="15" t="inlineStr">
        <is>
          <t>Q-ENDO-02</t>
        </is>
      </c>
      <c r="E14" s="15" t="inlineStr">
        <is>
          <t>Baseline DRAFT 2026 — Kiểm soát đường huyết cá thể hóa</t>
        </is>
      </c>
      <c r="F14" s="15" t="inlineStr">
        <is>
          <t>Baseline đa nguồn</t>
        </is>
      </c>
      <c r="G14" s="15" t="inlineStr">
        <is>
          <t>ADA Standards of Care 2026, Sections 6 &amp; 9; ACCORD, NEJM 2008</t>
        </is>
      </c>
      <c r="H14" s="15" t="inlineStr">
        <is>
          <t>PMID 41358894; PMID 41358900; PMID 18539917; DOI 10.1056/NEJMoa0802743</t>
        </is>
      </c>
      <c r="I14" s="15" t="inlineStr">
        <is>
          <t>Đã trích kết cục và giới hạn áp dụng; cần người dùng duyệt trước mọi thay đổi thực hành.</t>
        </is>
      </c>
      <c r="J14" s="15" t="inlineStr">
        <is>
          <t>WATCH — chưa thay đổi thực hành</t>
        </is>
      </c>
      <c r="K14" s="15" t="inlineStr">
        <is>
          <t>CẦN BÁC SĨ PHÁN ĐỊNH</t>
        </is>
      </c>
      <c r="L14" s="15" t="inlineStr">
        <is>
          <t>P2</t>
        </is>
      </c>
      <c r="M14" s="15" t="inlineStr">
        <is>
          <t>Người dùng — Trưởng chuyên ngành Nội tiết</t>
        </is>
      </c>
      <c r="N14" s="15" t="inlineStr">
        <is>
          <t>Chờ duyệt</t>
        </is>
      </c>
      <c r="O14" s="43">
        <f>IF(OR(B14="",L14=""),"",B14+IF(L14="P0",0,IF(L14="P1",7,IF(L14="P2",30,90))))</f>
        <v/>
      </c>
      <c r="P14" s="15" t="n"/>
      <c r="Q14" s="15">
        <f>IF(B14="","",IF(P14&lt;&gt;"",P14-B14,TODAY()-B14))</f>
        <v/>
      </c>
      <c r="R14" s="15" t="inlineStr">
        <is>
          <t>DRAFT — CHƯA DUYỆT; không tự gán GRADE; không có PII.</t>
        </is>
      </c>
    </row>
    <row r="15">
      <c r="A15" s="15" t="inlineStr">
        <is>
          <t>SIG-ENDO-2026-003</t>
        </is>
      </c>
      <c r="B15" s="43" t="n">
        <v>46272</v>
      </c>
      <c r="C15" s="15" t="inlineStr">
        <is>
          <t>PRJ-ENDO</t>
        </is>
      </c>
      <c r="D15" s="15" t="inlineStr">
        <is>
          <t>Q-ENDO-03</t>
        </is>
      </c>
      <c r="E15" s="15" t="inlineStr">
        <is>
          <t>Baseline DRAFT 2026 — Thừa cân, béo phì và hội chứng chuyển hóa</t>
        </is>
      </c>
      <c r="F15" s="15" t="inlineStr">
        <is>
          <t>Baseline đa nguồn</t>
        </is>
      </c>
      <c r="G15" s="15" t="inlineStr">
        <is>
          <t>ADA Standards of Care 2026, Section 8; SELECT, NEJM 2023; Obesity Standards 2026</t>
        </is>
      </c>
      <c r="H15" s="15" t="inlineStr">
        <is>
          <t>PMID 41358882; PMID 37952131; PMID 42242835; DOI 10.1056/NEJMoa2307563; DOI 10.2337/doci26-0003</t>
        </is>
      </c>
      <c r="I15" s="15" t="inlineStr">
        <is>
          <t>Đã trích kết cục và giới hạn áp dụng; cần người dùng duyệt trước mọi thay đổi thực hành.</t>
        </is>
      </c>
      <c r="J15" s="15" t="inlineStr">
        <is>
          <t>WATCH — chưa thay đổi thực hành</t>
        </is>
      </c>
      <c r="K15" s="15" t="inlineStr">
        <is>
          <t>CẦN BÁC SĨ PHÁN ĐỊNH</t>
        </is>
      </c>
      <c r="L15" s="15" t="inlineStr">
        <is>
          <t>P2</t>
        </is>
      </c>
      <c r="M15" s="15" t="inlineStr">
        <is>
          <t>Người dùng — Trưởng chuyên ngành Nội tiết</t>
        </is>
      </c>
      <c r="N15" s="15" t="inlineStr">
        <is>
          <t>Chờ duyệt</t>
        </is>
      </c>
      <c r="O15" s="43">
        <f>IF(OR(B15="",L15=""),"",B15+IF(L15="P0",0,IF(L15="P1",7,IF(L15="P2",30,90))))</f>
        <v/>
      </c>
      <c r="P15" s="15" t="n"/>
      <c r="Q15" s="15">
        <f>IF(B15="","",IF(P15&lt;&gt;"",P15-B15,TODAY()-B15))</f>
        <v/>
      </c>
      <c r="R15" s="15" t="inlineStr">
        <is>
          <t>DRAFT — CHƯA DUYỆT; không tự gán GRADE; không có PII.</t>
        </is>
      </c>
    </row>
    <row r="16">
      <c r="A16" s="15" t="inlineStr">
        <is>
          <t>SIG-ENDO-2026-004</t>
        </is>
      </c>
      <c r="B16" s="43" t="n">
        <v>46272</v>
      </c>
      <c r="C16" s="15" t="inlineStr">
        <is>
          <t>PRJ-ENDO</t>
        </is>
      </c>
      <c r="D16" s="15" t="inlineStr">
        <is>
          <t>Q-ENDO-04</t>
        </is>
      </c>
      <c r="E16" s="15" t="inlineStr">
        <is>
          <t>Baseline DRAFT 2026 — Suy giáp, cường giáp và nhân giáp</t>
        </is>
      </c>
      <c r="F16" s="15" t="inlineStr">
        <is>
          <t>Baseline đa nguồn</t>
        </is>
      </c>
      <c r="G16" s="15" t="inlineStr">
        <is>
          <t>NICE NG145 updated 2023/reviewed 2025; ETA 2023; ATA 2016 + corrigenda; TRUST 2017</t>
        </is>
      </c>
      <c r="H16" s="15" t="inlineStr">
        <is>
          <t>https://www.nice.org.uk/guidance/ng145/; PMID 37358008; PMID 27521067; PMID 29035639; PMID 40765504; PMID 28402245</t>
        </is>
      </c>
      <c r="I16" s="15" t="inlineStr">
        <is>
          <t>Đã trích kết cục và giới hạn áp dụng; cần người dùng duyệt trước mọi thay đổi thực hành.</t>
        </is>
      </c>
      <c r="J16" s="15" t="inlineStr">
        <is>
          <t>WATCH — chưa thay đổi thực hành</t>
        </is>
      </c>
      <c r="K16" s="15" t="inlineStr">
        <is>
          <t>CẦN BÁC SĨ PHÁN ĐỊNH</t>
        </is>
      </c>
      <c r="L16" s="15" t="inlineStr">
        <is>
          <t>P3</t>
        </is>
      </c>
      <c r="M16" s="15" t="inlineStr">
        <is>
          <t>Người dùng — Trưởng chuyên ngành Nội tiết</t>
        </is>
      </c>
      <c r="N16" s="15" t="inlineStr">
        <is>
          <t>Chờ duyệt</t>
        </is>
      </c>
      <c r="O16" s="43">
        <f>IF(OR(B16="",L16=""),"",B16+IF(L16="P0",0,IF(L16="P1",7,IF(L16="P2",30,90))))</f>
        <v/>
      </c>
      <c r="P16" s="15" t="n"/>
      <c r="Q16" s="15">
        <f>IF(B16="","",IF(P16&lt;&gt;"",P16-B16,TODAY()-B16))</f>
        <v/>
      </c>
      <c r="R16" s="15" t="inlineStr">
        <is>
          <t>DRAFT — CHƯA DUYỆT; không tự gán GRADE; không có PII.</t>
        </is>
      </c>
    </row>
    <row r="17">
      <c r="A17" s="15" t="inlineStr">
        <is>
          <t>SIG-ENDO-2026-005</t>
        </is>
      </c>
      <c r="B17" s="43" t="n">
        <v>46272</v>
      </c>
      <c r="C17" s="15" t="inlineStr">
        <is>
          <t>PRJ-ENDO</t>
        </is>
      </c>
      <c r="D17" s="15" t="inlineStr">
        <is>
          <t>Q-ENDO-05</t>
        </is>
      </c>
      <c r="E17" s="15" t="inlineStr">
        <is>
          <t>Baseline DRAFT 2026 — Tầm soát biến chứng mắt, thận, thần kinh và bàn chân</t>
        </is>
      </c>
      <c r="F17" s="15" t="inlineStr">
        <is>
          <t>Baseline đa nguồn</t>
        </is>
      </c>
      <c r="G17" s="15" t="inlineStr">
        <is>
          <t>ADA Standards of Care 2026, Sections 11–12</t>
        </is>
      </c>
      <c r="H17" s="15" t="inlineStr">
        <is>
          <t>PMID 41358881; PMID 41358886; DOI 10.2337/dc26-S011; DOI 10.2337/dc26-S012</t>
        </is>
      </c>
      <c r="I17" s="15" t="inlineStr">
        <is>
          <t>Đã trích kết cục và giới hạn áp dụng; cần người dùng duyệt trước mọi thay đổi thực hành.</t>
        </is>
      </c>
      <c r="J17" s="15" t="inlineStr">
        <is>
          <t>WATCH — chưa thay đổi thực hành</t>
        </is>
      </c>
      <c r="K17" s="15" t="inlineStr">
        <is>
          <t>CẦN BÁC SĨ PHÁN ĐỊNH</t>
        </is>
      </c>
      <c r="L17" s="15" t="inlineStr">
        <is>
          <t>P3</t>
        </is>
      </c>
      <c r="M17" s="15" t="inlineStr">
        <is>
          <t>Người dùng — Trưởng chuyên ngành Nội tiết</t>
        </is>
      </c>
      <c r="N17" s="15" t="inlineStr">
        <is>
          <t>Chờ duyệt</t>
        </is>
      </c>
      <c r="O17" s="43">
        <f>IF(OR(B17="",L17=""),"",B17+IF(L17="P0",0,IF(L17="P1",7,IF(L17="P2",30,90))))</f>
        <v/>
      </c>
      <c r="P17" s="15" t="n"/>
      <c r="Q17" s="15">
        <f>IF(B17="","",IF(P17&lt;&gt;"",P17-B17,TODAY()-B17))</f>
        <v/>
      </c>
      <c r="R17" s="15" t="inlineStr">
        <is>
          <t>DRAFT — CHƯA DUYỆT; không tự gán GRADE; không có PII.</t>
        </is>
      </c>
    </row>
    <row r="18">
      <c r="A18" s="15" t="inlineStr">
        <is>
          <t>SIG-ENDO-2026-006</t>
        </is>
      </c>
      <c r="B18" s="43" t="n">
        <v>46272</v>
      </c>
      <c r="C18" s="15" t="inlineStr">
        <is>
          <t>PRJ-ENDO</t>
        </is>
      </c>
      <c r="D18" s="15" t="inlineStr">
        <is>
          <t>Q-ENDO-06</t>
        </is>
      </c>
      <c r="E18" s="15" t="inlineStr">
        <is>
          <t>Baseline DRAFT 2026 — Hạ đường huyết và quản lý ngày ốm</t>
        </is>
      </c>
      <c r="F18" s="15" t="inlineStr">
        <is>
          <t>Baseline đa nguồn</t>
        </is>
      </c>
      <c r="G18" s="15" t="inlineStr">
        <is>
          <t>ADA Standards of Care 2026, Section 6; WISDM, JAMA 2020</t>
        </is>
      </c>
      <c r="H18" s="15" t="inlineStr">
        <is>
          <t>PMID 41358894; PMID 32543682; DOI 10.1001/jama.2020.6928</t>
        </is>
      </c>
      <c r="I18" s="15" t="inlineStr">
        <is>
          <t>Đã trích kết cục và giới hạn áp dụng; cần người dùng duyệt trước mọi thay đổi thực hành.</t>
        </is>
      </c>
      <c r="J18" s="15" t="inlineStr">
        <is>
          <t>WATCH — chưa thay đổi thực hành</t>
        </is>
      </c>
      <c r="K18" s="15" t="inlineStr">
        <is>
          <t>CẦN BÁC SĨ PHÁN ĐỊNH</t>
        </is>
      </c>
      <c r="L18" s="15" t="inlineStr">
        <is>
          <t>P3</t>
        </is>
      </c>
      <c r="M18" s="15" t="inlineStr">
        <is>
          <t>Người dùng — Trưởng chuyên ngành Nội tiết</t>
        </is>
      </c>
      <c r="N18" s="15" t="inlineStr">
        <is>
          <t>Chờ duyệt</t>
        </is>
      </c>
      <c r="O18" s="43">
        <f>IF(OR(B18="",L18=""),"",B18+IF(L18="P0",0,IF(L18="P1",7,IF(L18="P2",30,90))))</f>
        <v/>
      </c>
      <c r="P18" s="15" t="n"/>
      <c r="Q18" s="15">
        <f>IF(B18="","",IF(P18&lt;&gt;"",P18-B18,TODAY()-B18))</f>
        <v/>
      </c>
      <c r="R18" s="15" t="inlineStr">
        <is>
          <t>DRAFT — CHƯA DUYỆT; không tự gán GRADE; không có PII.</t>
        </is>
      </c>
    </row>
    <row r="19">
      <c r="A19" s="15" t="inlineStr">
        <is>
          <t>SIG-ENDO-2026-007</t>
        </is>
      </c>
      <c r="B19" s="43" t="n">
        <v>46272</v>
      </c>
      <c r="C19" s="15" t="inlineStr">
        <is>
          <t>PRJ-ENDO</t>
        </is>
      </c>
      <c r="D19" s="15" t="inlineStr">
        <is>
          <t>Q-ENDO-03</t>
        </is>
      </c>
      <c r="E19" s="15" t="inlineStr">
        <is>
          <t>Nguồn mới: Standards of Care in Overweight and Obesity—2026</t>
        </is>
      </c>
      <c r="F19" s="15" t="inlineStr">
        <is>
          <t>Guideline mới</t>
        </is>
      </c>
      <c r="G19" s="15" t="inlineStr">
        <is>
          <t>2026</t>
        </is>
      </c>
      <c r="H19" s="15" t="inlineStr">
        <is>
          <t>PMID 42242835; DOI 10.2337/doci26-0003; https://doi.org/10.2337/doci26-0003</t>
        </is>
      </c>
      <c r="I19" s="15" t="inlineStr">
        <is>
          <t>Tách riêng sàng lọc, chẩn đoán và phân giai đoạn béo phì; có thể làm rõ đánh giá vòng eo/BMI theo chủng tộc-dân tộc.</t>
        </is>
      </c>
      <c r="J19" s="15" t="inlineStr">
        <is>
          <t>CLARIFY — đối chiếu ngưỡng châu Á/Việt Nam và luồng ngoại trú trước khi dùng</t>
        </is>
      </c>
      <c r="K19" s="15" t="inlineStr">
        <is>
          <t>CẦN BÁC SĨ PHÁN ĐỊNH</t>
        </is>
      </c>
      <c r="L19" s="15" t="inlineStr">
        <is>
          <t>P2</t>
        </is>
      </c>
      <c r="M19" s="15" t="inlineStr">
        <is>
          <t>Người dùng — Trưởng chuyên ngành Nội tiết</t>
        </is>
      </c>
      <c r="N19" s="15" t="inlineStr">
        <is>
          <t>Chờ duyệt</t>
        </is>
      </c>
      <c r="O19" s="43">
        <f>IF(OR(B19="",L19=""),"",B19+IF(L19="P0",0,IF(L19="P1",7,IF(L19="P2",30,90))))</f>
        <v/>
      </c>
      <c r="P19" s="15" t="n"/>
      <c r="Q19" s="15">
        <f>IF(B19="","",IF(P19&lt;&gt;"",P19-B19,TODAY()-B19))</f>
        <v/>
      </c>
      <c r="R19" s="15" t="inlineStr">
        <is>
          <t>Ứng viên DRAFT; không tự thêm câu hỏi hoạt động, không đổi phạm vi/thực hành.</t>
        </is>
      </c>
    </row>
    <row r="20">
      <c r="A20" s="15" t="n"/>
      <c r="B20" s="15" t="n"/>
      <c r="C20" s="15" t="n"/>
      <c r="D20" s="15" t="n"/>
      <c r="E20" s="15" t="n"/>
      <c r="F20" s="15" t="n"/>
      <c r="G20" s="15" t="n"/>
      <c r="H20" s="15" t="n"/>
      <c r="I20" s="15" t="n"/>
      <c r="J20" s="15" t="inlineStr">
        <is>
          <t>Không</t>
        </is>
      </c>
      <c r="K20" s="15" t="n"/>
      <c r="L20" s="15" t="n"/>
      <c r="M20" s="15" t="inlineStr">
        <is>
          <t>Mở</t>
        </is>
      </c>
      <c r="N20" s="15" t="n"/>
      <c r="O20" s="15">
        <f>IF(OR(B20="",L20=""),"",B20+IF(L20="P0",0,IF(L20="P1",7,IF(L20="P2",30,90))))</f>
        <v/>
      </c>
      <c r="P20" s="15" t="n"/>
      <c r="Q20" s="15">
        <f>IF(B20="","",IF(P20&lt;&gt;"",P20-B20,TODAY()-B20))</f>
        <v/>
      </c>
      <c r="R20" s="15" t="n"/>
    </row>
    <row r="21">
      <c r="A21" s="15" t="n"/>
      <c r="B21" s="15" t="n"/>
      <c r="C21" s="15" t="n"/>
      <c r="D21" s="15" t="n"/>
      <c r="E21" s="15" t="n"/>
      <c r="F21" s="15" t="n"/>
      <c r="G21" s="15" t="n"/>
      <c r="H21" s="15" t="n"/>
      <c r="I21" s="15" t="n"/>
      <c r="J21" s="15" t="inlineStr">
        <is>
          <t>Không</t>
        </is>
      </c>
      <c r="K21" s="15" t="n"/>
      <c r="L21" s="15" t="n"/>
      <c r="M21" s="15" t="inlineStr">
        <is>
          <t>Mở</t>
        </is>
      </c>
      <c r="N21" s="15" t="n"/>
      <c r="O21" s="15">
        <f>IF(OR(B21="",L21=""),"",B21+IF(L21="P0",0,IF(L21="P1",7,IF(L21="P2",30,90))))</f>
        <v/>
      </c>
      <c r="P21" s="15" t="n"/>
      <c r="Q21" s="15">
        <f>IF(B21="","",IF(P21&lt;&gt;"",P21-B21,TODAY()-B21))</f>
        <v/>
      </c>
      <c r="R21" s="15" t="n"/>
    </row>
    <row r="22">
      <c r="A22" s="15" t="n"/>
      <c r="B22" s="15" t="n"/>
      <c r="C22" s="15" t="n"/>
      <c r="D22" s="15" t="n"/>
      <c r="E22" s="15" t="n"/>
      <c r="F22" s="15" t="n"/>
      <c r="G22" s="15" t="n"/>
      <c r="H22" s="15" t="n"/>
      <c r="I22" s="15" t="n"/>
      <c r="J22" s="15" t="inlineStr">
        <is>
          <t>Không</t>
        </is>
      </c>
      <c r="K22" s="15" t="n"/>
      <c r="L22" s="15" t="n"/>
      <c r="M22" s="15" t="inlineStr">
        <is>
          <t>Mở</t>
        </is>
      </c>
      <c r="N22" s="15" t="n"/>
      <c r="O22" s="15">
        <f>IF(OR(B22="",L22=""),"",B22+IF(L22="P0",0,IF(L22="P1",7,IF(L22="P2",30,90))))</f>
        <v/>
      </c>
      <c r="P22" s="15" t="n"/>
      <c r="Q22" s="15">
        <f>IF(B22="","",IF(P22&lt;&gt;"",P22-B22,TODAY()-B22))</f>
        <v/>
      </c>
      <c r="R22" s="15" t="n"/>
    </row>
    <row r="23">
      <c r="A23" s="15" t="n"/>
      <c r="B23" s="15" t="n"/>
      <c r="C23" s="15" t="n"/>
      <c r="D23" s="15" t="n"/>
      <c r="E23" s="15" t="n"/>
      <c r="F23" s="15" t="n"/>
      <c r="G23" s="15" t="n"/>
      <c r="H23" s="15" t="n"/>
      <c r="I23" s="15" t="n"/>
      <c r="J23" s="15" t="inlineStr">
        <is>
          <t>Không</t>
        </is>
      </c>
      <c r="K23" s="15" t="n"/>
      <c r="L23" s="15" t="n"/>
      <c r="M23" s="15" t="inlineStr">
        <is>
          <t>Mở</t>
        </is>
      </c>
      <c r="N23" s="15" t="n"/>
      <c r="O23" s="15">
        <f>IF(OR(B23="",L23=""),"",B23+IF(L23="P0",0,IF(L23="P1",7,IF(L23="P2",30,90))))</f>
        <v/>
      </c>
      <c r="P23" s="15" t="n"/>
      <c r="Q23" s="15">
        <f>IF(B23="","",IF(P23&lt;&gt;"",P23-B23,TODAY()-B23))</f>
        <v/>
      </c>
      <c r="R23" s="15" t="n"/>
    </row>
    <row r="24">
      <c r="A24" s="15" t="n"/>
      <c r="B24" s="15" t="n"/>
      <c r="C24" s="15" t="n"/>
      <c r="D24" s="15" t="n"/>
      <c r="E24" s="15" t="n"/>
      <c r="F24" s="15" t="n"/>
      <c r="G24" s="15" t="n"/>
      <c r="H24" s="15" t="n"/>
      <c r="I24" s="15" t="n"/>
      <c r="J24" s="15" t="inlineStr">
        <is>
          <t>Không</t>
        </is>
      </c>
      <c r="K24" s="15" t="n"/>
      <c r="L24" s="15" t="n"/>
      <c r="M24" s="15" t="inlineStr">
        <is>
          <t>Mở</t>
        </is>
      </c>
      <c r="N24" s="15" t="n"/>
      <c r="O24" s="15">
        <f>IF(OR(B24="",L24=""),"",B24+IF(L24="P0",0,IF(L24="P1",7,IF(L24="P2",30,90))))</f>
        <v/>
      </c>
      <c r="P24" s="15" t="n"/>
      <c r="Q24" s="15">
        <f>IF(B24="","",IF(P24&lt;&gt;"",P24-B24,TODAY()-B24))</f>
        <v/>
      </c>
      <c r="R24" s="15" t="n"/>
    </row>
    <row r="25">
      <c r="A25" s="15" t="n"/>
      <c r="B25" s="15" t="n"/>
      <c r="C25" s="15" t="n"/>
      <c r="D25" s="15" t="n"/>
      <c r="E25" s="15" t="n"/>
      <c r="F25" s="15" t="n"/>
      <c r="G25" s="15" t="n"/>
      <c r="H25" s="15" t="n"/>
      <c r="I25" s="15" t="n"/>
      <c r="J25" s="15" t="inlineStr">
        <is>
          <t>Không</t>
        </is>
      </c>
      <c r="K25" s="15" t="n"/>
      <c r="L25" s="15" t="n"/>
      <c r="M25" s="15" t="inlineStr">
        <is>
          <t>Mở</t>
        </is>
      </c>
      <c r="N25" s="15" t="n"/>
      <c r="O25" s="15">
        <f>IF(OR(B25="",L25=""),"",B25+IF(L25="P0",0,IF(L25="P1",7,IF(L25="P2",30,90))))</f>
        <v/>
      </c>
      <c r="P25" s="15" t="n"/>
      <c r="Q25" s="15">
        <f>IF(B25="","",IF(P25&lt;&gt;"",P25-B25,TODAY()-B25))</f>
        <v/>
      </c>
      <c r="R25" s="15" t="n"/>
    </row>
    <row r="26">
      <c r="A26" s="15" t="n"/>
      <c r="B26" s="15" t="n"/>
      <c r="C26" s="15" t="n"/>
      <c r="D26" s="15" t="n"/>
      <c r="E26" s="15" t="n"/>
      <c r="F26" s="15" t="n"/>
      <c r="G26" s="15" t="n"/>
      <c r="H26" s="15" t="n"/>
      <c r="I26" s="15" t="n"/>
      <c r="J26" s="15" t="inlineStr">
        <is>
          <t>Không</t>
        </is>
      </c>
      <c r="K26" s="15" t="n"/>
      <c r="L26" s="15" t="n"/>
      <c r="M26" s="15" t="inlineStr">
        <is>
          <t>Mở</t>
        </is>
      </c>
      <c r="N26" s="15" t="n"/>
      <c r="O26" s="15">
        <f>IF(OR(B26="",L26=""),"",B26+IF(L26="P0",0,IF(L26="P1",7,IF(L26="P2",30,90))))</f>
        <v/>
      </c>
      <c r="P26" s="15" t="n"/>
      <c r="Q26" s="15">
        <f>IF(B26="","",IF(P26&lt;&gt;"",P26-B26,TODAY()-B26))</f>
        <v/>
      </c>
      <c r="R26" s="15" t="n"/>
    </row>
    <row r="27">
      <c r="A27" s="15" t="n"/>
      <c r="B27" s="15" t="n"/>
      <c r="C27" s="15" t="n"/>
      <c r="D27" s="15" t="n"/>
      <c r="E27" s="15" t="n"/>
      <c r="F27" s="15" t="n"/>
      <c r="G27" s="15" t="n"/>
      <c r="H27" s="15" t="n"/>
      <c r="I27" s="15" t="n"/>
      <c r="J27" s="15" t="inlineStr">
        <is>
          <t>Không</t>
        </is>
      </c>
      <c r="K27" s="15" t="n"/>
      <c r="L27" s="15" t="n"/>
      <c r="M27" s="15" t="inlineStr">
        <is>
          <t>Mở</t>
        </is>
      </c>
      <c r="N27" s="15" t="n"/>
      <c r="O27" s="15">
        <f>IF(OR(B27="",L27=""),"",B27+IF(L27="P0",0,IF(L27="P1",7,IF(L27="P2",30,90))))</f>
        <v/>
      </c>
      <c r="P27" s="15" t="n"/>
      <c r="Q27" s="15">
        <f>IF(B27="","",IF(P27&lt;&gt;"",P27-B27,TODAY()-B27))</f>
        <v/>
      </c>
      <c r="R27" s="15" t="n"/>
    </row>
    <row r="28">
      <c r="A28" s="15" t="n"/>
      <c r="B28" s="15" t="n"/>
      <c r="C28" s="15" t="n"/>
      <c r="D28" s="15" t="n"/>
      <c r="E28" s="15" t="n"/>
      <c r="F28" s="15" t="n"/>
      <c r="G28" s="15" t="n"/>
      <c r="H28" s="15" t="n"/>
      <c r="I28" s="15" t="n"/>
      <c r="J28" s="15" t="inlineStr">
        <is>
          <t>Không</t>
        </is>
      </c>
      <c r="K28" s="15" t="n"/>
      <c r="L28" s="15" t="n"/>
      <c r="M28" s="15" t="inlineStr">
        <is>
          <t>Mở</t>
        </is>
      </c>
      <c r="N28" s="15" t="n"/>
      <c r="O28" s="15">
        <f>IF(OR(B28="",L28=""),"",B28+IF(L28="P0",0,IF(L28="P1",7,IF(L28="P2",30,90))))</f>
        <v/>
      </c>
      <c r="P28" s="15" t="n"/>
      <c r="Q28" s="15">
        <f>IF(B28="","",IF(P28&lt;&gt;"",P28-B28,TODAY()-B28))</f>
        <v/>
      </c>
      <c r="R28" s="15" t="n"/>
    </row>
    <row r="29">
      <c r="A29" s="15" t="n"/>
      <c r="B29" s="15" t="n"/>
      <c r="C29" s="15" t="n"/>
      <c r="D29" s="15" t="n"/>
      <c r="E29" s="15" t="n"/>
      <c r="F29" s="15" t="n"/>
      <c r="G29" s="15" t="n"/>
      <c r="H29" s="15" t="n"/>
      <c r="I29" s="15" t="n"/>
      <c r="J29" s="15" t="inlineStr">
        <is>
          <t>Không</t>
        </is>
      </c>
      <c r="K29" s="15" t="n"/>
      <c r="L29" s="15" t="n"/>
      <c r="M29" s="15" t="inlineStr">
        <is>
          <t>Mở</t>
        </is>
      </c>
      <c r="N29" s="15" t="n"/>
      <c r="O29" s="15">
        <f>IF(OR(B29="",L29=""),"",B29+IF(L29="P0",0,IF(L29="P1",7,IF(L29="P2",30,90))))</f>
        <v/>
      </c>
      <c r="P29" s="15" t="n"/>
      <c r="Q29" s="15">
        <f>IF(B29="","",IF(P29&lt;&gt;"",P29-B29,TODAY()-B29))</f>
        <v/>
      </c>
      <c r="R29" s="15" t="n"/>
    </row>
    <row r="30">
      <c r="A30" s="15" t="n"/>
      <c r="B30" s="15" t="n"/>
      <c r="C30" s="15" t="n"/>
      <c r="D30" s="15" t="n"/>
      <c r="E30" s="15" t="n"/>
      <c r="F30" s="15" t="n"/>
      <c r="G30" s="15" t="n"/>
      <c r="H30" s="15" t="n"/>
      <c r="I30" s="15" t="n"/>
      <c r="J30" s="15" t="inlineStr">
        <is>
          <t>Không</t>
        </is>
      </c>
      <c r="K30" s="15" t="n"/>
      <c r="L30" s="15" t="n"/>
      <c r="M30" s="15" t="inlineStr">
        <is>
          <t>Mở</t>
        </is>
      </c>
      <c r="N30" s="15" t="n"/>
      <c r="O30" s="15">
        <f>IF(OR(B30="",L30=""),"",B30+IF(L30="P0",0,IF(L30="P1",7,IF(L30="P2",30,90))))</f>
        <v/>
      </c>
      <c r="P30" s="15" t="n"/>
      <c r="Q30" s="15">
        <f>IF(B30="","",IF(P30&lt;&gt;"",P30-B30,TODAY()-B30))</f>
        <v/>
      </c>
      <c r="R30" s="15" t="n"/>
    </row>
    <row r="31">
      <c r="A31" s="15" t="n"/>
      <c r="B31" s="15" t="n"/>
      <c r="C31" s="15" t="n"/>
      <c r="D31" s="15" t="n"/>
      <c r="E31" s="15" t="n"/>
      <c r="F31" s="15" t="n"/>
      <c r="G31" s="15" t="n"/>
      <c r="H31" s="15" t="n"/>
      <c r="I31" s="15" t="n"/>
      <c r="J31" s="15" t="inlineStr">
        <is>
          <t>Không</t>
        </is>
      </c>
      <c r="K31" s="15" t="n"/>
      <c r="L31" s="15" t="n"/>
      <c r="M31" s="15" t="inlineStr">
        <is>
          <t>Mở</t>
        </is>
      </c>
      <c r="N31" s="15" t="n"/>
      <c r="O31" s="15">
        <f>IF(OR(B31="",L31=""),"",B31+IF(L31="P0",0,IF(L31="P1",7,IF(L31="P2",30,90))))</f>
        <v/>
      </c>
      <c r="P31" s="15" t="n"/>
      <c r="Q31" s="15">
        <f>IF(B31="","",IF(P31&lt;&gt;"",P31-B31,TODAY()-B31))</f>
        <v/>
      </c>
      <c r="R31" s="15" t="n"/>
    </row>
    <row r="32">
      <c r="A32" s="15" t="n"/>
      <c r="B32" s="15" t="n"/>
      <c r="C32" s="15" t="n"/>
      <c r="D32" s="15" t="n"/>
      <c r="E32" s="15" t="n"/>
      <c r="F32" s="15" t="n"/>
      <c r="G32" s="15" t="n"/>
      <c r="H32" s="15" t="n"/>
      <c r="I32" s="15" t="n"/>
      <c r="J32" s="15" t="inlineStr">
        <is>
          <t>Không</t>
        </is>
      </c>
      <c r="K32" s="15" t="n"/>
      <c r="L32" s="15" t="n"/>
      <c r="M32" s="15" t="inlineStr">
        <is>
          <t>Mở</t>
        </is>
      </c>
      <c r="N32" s="15" t="n"/>
      <c r="O32" s="15">
        <f>IF(OR(B32="",L32=""),"",B32+IF(L32="P0",0,IF(L32="P1",7,IF(L32="P2",30,90))))</f>
        <v/>
      </c>
      <c r="P32" s="15" t="n"/>
      <c r="Q32" s="15">
        <f>IF(B32="","",IF(P32&lt;&gt;"",P32-B32,TODAY()-B32))</f>
        <v/>
      </c>
      <c r="R32" s="15" t="n"/>
    </row>
    <row r="33">
      <c r="A33" s="15" t="n"/>
      <c r="B33" s="15" t="n"/>
      <c r="C33" s="15" t="n"/>
      <c r="D33" s="15" t="n"/>
      <c r="E33" s="15" t="n"/>
      <c r="F33" s="15" t="n"/>
      <c r="G33" s="15" t="n"/>
      <c r="H33" s="15" t="n"/>
      <c r="I33" s="15" t="n"/>
      <c r="J33" s="15" t="inlineStr">
        <is>
          <t>Không</t>
        </is>
      </c>
      <c r="K33" s="15" t="n"/>
      <c r="L33" s="15" t="n"/>
      <c r="M33" s="15" t="inlineStr">
        <is>
          <t>Mở</t>
        </is>
      </c>
      <c r="N33" s="15" t="n"/>
      <c r="O33" s="15">
        <f>IF(OR(B33="",L33=""),"",B33+IF(L33="P0",0,IF(L33="P1",7,IF(L33="P2",30,90))))</f>
        <v/>
      </c>
      <c r="P33" s="15" t="n"/>
      <c r="Q33" s="15">
        <f>IF(B33="","",IF(P33&lt;&gt;"",P33-B33,TODAY()-B33))</f>
        <v/>
      </c>
      <c r="R33" s="15" t="n"/>
    </row>
    <row r="34">
      <c r="A34" s="15" t="n"/>
      <c r="B34" s="15" t="n"/>
      <c r="C34" s="15" t="n"/>
      <c r="D34" s="15" t="n"/>
      <c r="E34" s="15" t="n"/>
      <c r="F34" s="15" t="n"/>
      <c r="G34" s="15" t="n"/>
      <c r="H34" s="15" t="n"/>
      <c r="I34" s="15" t="n"/>
      <c r="J34" s="15" t="inlineStr">
        <is>
          <t>Không</t>
        </is>
      </c>
      <c r="K34" s="15" t="n"/>
      <c r="L34" s="15" t="n"/>
      <c r="M34" s="15" t="inlineStr">
        <is>
          <t>Mở</t>
        </is>
      </c>
      <c r="N34" s="15" t="n"/>
      <c r="O34" s="15">
        <f>IF(OR(B34="",L34=""),"",B34+IF(L34="P0",0,IF(L34="P1",7,IF(L34="P2",30,90))))</f>
        <v/>
      </c>
      <c r="P34" s="15" t="n"/>
      <c r="Q34" s="15">
        <f>IF(B34="","",IF(P34&lt;&gt;"",P34-B34,TODAY()-B34))</f>
        <v/>
      </c>
      <c r="R34" s="15" t="n"/>
    </row>
    <row r="35">
      <c r="A35" s="15" t="n"/>
      <c r="B35" s="15" t="n"/>
      <c r="C35" s="15" t="n"/>
      <c r="D35" s="15" t="n"/>
      <c r="E35" s="15" t="n"/>
      <c r="F35" s="15" t="n"/>
      <c r="G35" s="15" t="n"/>
      <c r="H35" s="15" t="n"/>
      <c r="I35" s="15" t="n"/>
      <c r="J35" s="15" t="inlineStr">
        <is>
          <t>Không</t>
        </is>
      </c>
      <c r="K35" s="15" t="n"/>
      <c r="L35" s="15" t="n"/>
      <c r="M35" s="15" t="inlineStr">
        <is>
          <t>Mở</t>
        </is>
      </c>
      <c r="N35" s="15" t="n"/>
      <c r="O35" s="15">
        <f>IF(OR(B35="",L35=""),"",B35+IF(L35="P0",0,IF(L35="P1",7,IF(L35="P2",30,90))))</f>
        <v/>
      </c>
      <c r="P35" s="15" t="n"/>
      <c r="Q35" s="15">
        <f>IF(B35="","",IF(P35&lt;&gt;"",P35-B35,TODAY()-B35))</f>
        <v/>
      </c>
      <c r="R35" s="15" t="n"/>
    </row>
    <row r="36">
      <c r="A36" s="15" t="n"/>
      <c r="B36" s="15" t="n"/>
      <c r="C36" s="15" t="n"/>
      <c r="D36" s="15" t="n"/>
      <c r="E36" s="15" t="n"/>
      <c r="F36" s="15" t="n"/>
      <c r="G36" s="15" t="n"/>
      <c r="H36" s="15" t="n"/>
      <c r="I36" s="15" t="n"/>
      <c r="J36" s="15" t="inlineStr">
        <is>
          <t>Không</t>
        </is>
      </c>
      <c r="K36" s="15" t="n"/>
      <c r="L36" s="15" t="n"/>
      <c r="M36" s="15" t="inlineStr">
        <is>
          <t>Mở</t>
        </is>
      </c>
      <c r="N36" s="15" t="n"/>
      <c r="O36" s="15">
        <f>IF(OR(B36="",L36=""),"",B36+IF(L36="P0",0,IF(L36="P1",7,IF(L36="P2",30,90))))</f>
        <v/>
      </c>
      <c r="P36" s="15" t="n"/>
      <c r="Q36" s="15">
        <f>IF(B36="","",IF(P36&lt;&gt;"",P36-B36,TODAY()-B36))</f>
        <v/>
      </c>
      <c r="R36" s="15" t="n"/>
    </row>
    <row r="37">
      <c r="A37" s="15" t="n"/>
      <c r="B37" s="15" t="n"/>
      <c r="C37" s="15" t="n"/>
      <c r="D37" s="15" t="n"/>
      <c r="E37" s="15" t="n"/>
      <c r="F37" s="15" t="n"/>
      <c r="G37" s="15" t="n"/>
      <c r="H37" s="15" t="n"/>
      <c r="I37" s="15" t="n"/>
      <c r="J37" s="15" t="inlineStr">
        <is>
          <t>Không</t>
        </is>
      </c>
      <c r="K37" s="15" t="n"/>
      <c r="L37" s="15" t="n"/>
      <c r="M37" s="15" t="inlineStr">
        <is>
          <t>Mở</t>
        </is>
      </c>
      <c r="N37" s="15" t="n"/>
      <c r="O37" s="15">
        <f>IF(OR(B37="",L37=""),"",B37+IF(L37="P0",0,IF(L37="P1",7,IF(L37="P2",30,90))))</f>
        <v/>
      </c>
      <c r="P37" s="15" t="n"/>
      <c r="Q37" s="15">
        <f>IF(B37="","",IF(P37&lt;&gt;"",P37-B37,TODAY()-B37))</f>
        <v/>
      </c>
      <c r="R37" s="15" t="n"/>
    </row>
    <row r="38">
      <c r="A38" s="15" t="n"/>
      <c r="B38" s="15" t="n"/>
      <c r="C38" s="15" t="n"/>
      <c r="D38" s="15" t="n"/>
      <c r="E38" s="15" t="n"/>
      <c r="F38" s="15" t="n"/>
      <c r="G38" s="15" t="n"/>
      <c r="H38" s="15" t="n"/>
      <c r="I38" s="15" t="n"/>
      <c r="J38" s="15" t="inlineStr">
        <is>
          <t>Không</t>
        </is>
      </c>
      <c r="K38" s="15" t="n"/>
      <c r="L38" s="15" t="n"/>
      <c r="M38" s="15" t="inlineStr">
        <is>
          <t>Mở</t>
        </is>
      </c>
      <c r="N38" s="15" t="n"/>
      <c r="O38" s="15">
        <f>IF(OR(B38="",L38=""),"",B38+IF(L38="P0",0,IF(L38="P1",7,IF(L38="P2",30,90))))</f>
        <v/>
      </c>
      <c r="P38" s="15" t="n"/>
      <c r="Q38" s="15">
        <f>IF(B38="","",IF(P38&lt;&gt;"",P38-B38,TODAY()-B38))</f>
        <v/>
      </c>
      <c r="R38" s="15" t="n"/>
    </row>
    <row r="39">
      <c r="A39" s="15" t="n"/>
      <c r="B39" s="15" t="n"/>
      <c r="C39" s="15" t="n"/>
      <c r="D39" s="15" t="n"/>
      <c r="E39" s="15" t="n"/>
      <c r="F39" s="15" t="n"/>
      <c r="G39" s="15" t="n"/>
      <c r="H39" s="15" t="n"/>
      <c r="I39" s="15" t="n"/>
      <c r="J39" s="15" t="inlineStr">
        <is>
          <t>Không</t>
        </is>
      </c>
      <c r="K39" s="15" t="n"/>
      <c r="L39" s="15" t="n"/>
      <c r="M39" s="15" t="inlineStr">
        <is>
          <t>Mở</t>
        </is>
      </c>
      <c r="N39" s="15" t="n"/>
      <c r="O39" s="15">
        <f>IF(OR(B39="",L39=""),"",B39+IF(L39="P0",0,IF(L39="P1",7,IF(L39="P2",30,90))))</f>
        <v/>
      </c>
      <c r="P39" s="15" t="n"/>
      <c r="Q39" s="15">
        <f>IF(B39="","",IF(P39&lt;&gt;"",P39-B39,TODAY()-B39))</f>
        <v/>
      </c>
      <c r="R39" s="15" t="n"/>
    </row>
    <row r="40">
      <c r="A40" s="15" t="n"/>
      <c r="B40" s="15" t="n"/>
      <c r="C40" s="15" t="n"/>
      <c r="D40" s="15" t="n"/>
      <c r="E40" s="15" t="n"/>
      <c r="F40" s="15" t="n"/>
      <c r="G40" s="15" t="n"/>
      <c r="H40" s="15" t="n"/>
      <c r="I40" s="15" t="n"/>
      <c r="J40" s="15" t="inlineStr">
        <is>
          <t>Không</t>
        </is>
      </c>
      <c r="K40" s="15" t="n"/>
      <c r="L40" s="15" t="n"/>
      <c r="M40" s="15" t="inlineStr">
        <is>
          <t>Mở</t>
        </is>
      </c>
      <c r="N40" s="15" t="n"/>
      <c r="O40" s="15">
        <f>IF(OR(B40="",L40=""),"",B40+IF(L40="P0",0,IF(L40="P1",7,IF(L40="P2",30,90))))</f>
        <v/>
      </c>
      <c r="P40" s="15" t="n"/>
      <c r="Q40" s="15">
        <f>IF(B40="","",IF(P40&lt;&gt;"",P40-B40,TODAY()-B40))</f>
        <v/>
      </c>
      <c r="R40" s="15" t="n"/>
    </row>
    <row r="41">
      <c r="A41" s="15" t="n"/>
      <c r="B41" s="15" t="n"/>
      <c r="C41" s="15" t="n"/>
      <c r="D41" s="15" t="n"/>
      <c r="E41" s="15" t="n"/>
      <c r="F41" s="15" t="n"/>
      <c r="G41" s="15" t="n"/>
      <c r="H41" s="15" t="n"/>
      <c r="I41" s="15" t="n"/>
      <c r="J41" s="15" t="inlineStr">
        <is>
          <t>Không</t>
        </is>
      </c>
      <c r="K41" s="15" t="n"/>
      <c r="L41" s="15" t="n"/>
      <c r="M41" s="15" t="inlineStr">
        <is>
          <t>Mở</t>
        </is>
      </c>
      <c r="N41" s="15" t="n"/>
      <c r="O41" s="15">
        <f>IF(OR(B41="",L41=""),"",B41+IF(L41="P0",0,IF(L41="P1",7,IF(L41="P2",30,90))))</f>
        <v/>
      </c>
      <c r="P41" s="15" t="n"/>
      <c r="Q41" s="15">
        <f>IF(B41="","",IF(P41&lt;&gt;"",P41-B41,TODAY()-B41))</f>
        <v/>
      </c>
      <c r="R41" s="15" t="n"/>
    </row>
    <row r="42">
      <c r="A42" s="15" t="n"/>
      <c r="B42" s="15" t="n"/>
      <c r="C42" s="15" t="n"/>
      <c r="D42" s="15" t="n"/>
      <c r="E42" s="15" t="n"/>
      <c r="F42" s="15" t="n"/>
      <c r="G42" s="15" t="n"/>
      <c r="H42" s="15" t="n"/>
      <c r="I42" s="15" t="n"/>
      <c r="J42" s="15" t="inlineStr">
        <is>
          <t>Không</t>
        </is>
      </c>
      <c r="K42" s="15" t="n"/>
      <c r="L42" s="15" t="n"/>
      <c r="M42" s="15" t="inlineStr">
        <is>
          <t>Mở</t>
        </is>
      </c>
      <c r="N42" s="15" t="n"/>
      <c r="O42" s="15">
        <f>IF(OR(B42="",L42=""),"",B42+IF(L42="P0",0,IF(L42="P1",7,IF(L42="P2",30,90))))</f>
        <v/>
      </c>
      <c r="P42" s="15" t="n"/>
      <c r="Q42" s="15">
        <f>IF(B42="","",IF(P42&lt;&gt;"",P42-B42,TODAY()-B42))</f>
        <v/>
      </c>
      <c r="R42" s="15" t="n"/>
    </row>
    <row r="43">
      <c r="A43" s="15" t="n"/>
      <c r="B43" s="15" t="n"/>
      <c r="C43" s="15" t="n"/>
      <c r="D43" s="15" t="n"/>
      <c r="E43" s="15" t="n"/>
      <c r="F43" s="15" t="n"/>
      <c r="G43" s="15" t="n"/>
      <c r="H43" s="15" t="n"/>
      <c r="I43" s="15" t="n"/>
      <c r="J43" s="15" t="inlineStr">
        <is>
          <t>Không</t>
        </is>
      </c>
      <c r="K43" s="15" t="n"/>
      <c r="L43" s="15" t="n"/>
      <c r="M43" s="15" t="inlineStr">
        <is>
          <t>Mở</t>
        </is>
      </c>
      <c r="N43" s="15" t="n"/>
      <c r="O43" s="15">
        <f>IF(OR(B43="",L43=""),"",B43+IF(L43="P0",0,IF(L43="P1",7,IF(L43="P2",30,90))))</f>
        <v/>
      </c>
      <c r="P43" s="15" t="n"/>
      <c r="Q43" s="15">
        <f>IF(B43="","",IF(P43&lt;&gt;"",P43-B43,TODAY()-B43))</f>
        <v/>
      </c>
      <c r="R43" s="15" t="n"/>
    </row>
    <row r="44">
      <c r="A44" s="15" t="n"/>
      <c r="B44" s="15" t="n"/>
      <c r="C44" s="15" t="n"/>
      <c r="D44" s="15" t="n"/>
      <c r="E44" s="15" t="n"/>
      <c r="F44" s="15" t="n"/>
      <c r="G44" s="15" t="n"/>
      <c r="H44" s="15" t="n"/>
      <c r="I44" s="15" t="n"/>
      <c r="J44" s="15" t="inlineStr">
        <is>
          <t>Không</t>
        </is>
      </c>
      <c r="K44" s="15" t="n"/>
      <c r="L44" s="15" t="n"/>
      <c r="M44" s="15" t="inlineStr">
        <is>
          <t>Mở</t>
        </is>
      </c>
      <c r="N44" s="15" t="n"/>
      <c r="O44" s="15">
        <f>IF(OR(B44="",L44=""),"",B44+IF(L44="P0",0,IF(L44="P1",7,IF(L44="P2",30,90))))</f>
        <v/>
      </c>
      <c r="P44" s="15" t="n"/>
      <c r="Q44" s="15">
        <f>IF(B44="","",IF(P44&lt;&gt;"",P44-B44,TODAY()-B44))</f>
        <v/>
      </c>
      <c r="R44" s="15" t="n"/>
    </row>
    <row r="45">
      <c r="A45" s="15" t="n"/>
      <c r="B45" s="15" t="n"/>
      <c r="C45" s="15" t="n"/>
      <c r="D45" s="15" t="n"/>
      <c r="E45" s="15" t="n"/>
      <c r="F45" s="15" t="n"/>
      <c r="G45" s="15" t="n"/>
      <c r="H45" s="15" t="n"/>
      <c r="I45" s="15" t="n"/>
      <c r="J45" s="15" t="inlineStr">
        <is>
          <t>Không</t>
        </is>
      </c>
      <c r="K45" s="15" t="n"/>
      <c r="L45" s="15" t="n"/>
      <c r="M45" s="15" t="inlineStr">
        <is>
          <t>Mở</t>
        </is>
      </c>
      <c r="N45" s="15" t="n"/>
      <c r="O45" s="15">
        <f>IF(OR(B45="",L45=""),"",B45+IF(L45="P0",0,IF(L45="P1",7,IF(L45="P2",30,90))))</f>
        <v/>
      </c>
      <c r="P45" s="15" t="n"/>
      <c r="Q45" s="15">
        <f>IF(B45="","",IF(P45&lt;&gt;"",P45-B45,TODAY()-B45))</f>
        <v/>
      </c>
      <c r="R45" s="15" t="n"/>
    </row>
    <row r="46">
      <c r="A46" s="15" t="n"/>
      <c r="B46" s="15" t="n"/>
      <c r="C46" s="15" t="n"/>
      <c r="D46" s="15" t="n"/>
      <c r="E46" s="15" t="n"/>
      <c r="F46" s="15" t="n"/>
      <c r="G46" s="15" t="n"/>
      <c r="H46" s="15" t="n"/>
      <c r="I46" s="15" t="n"/>
      <c r="J46" s="15" t="inlineStr">
        <is>
          <t>Không</t>
        </is>
      </c>
      <c r="K46" s="15" t="n"/>
      <c r="L46" s="15" t="n"/>
      <c r="M46" s="15" t="inlineStr">
        <is>
          <t>Mở</t>
        </is>
      </c>
      <c r="N46" s="15" t="n"/>
      <c r="O46" s="15">
        <f>IF(OR(B46="",L46=""),"",B46+IF(L46="P0",0,IF(L46="P1",7,IF(L46="P2",30,90))))</f>
        <v/>
      </c>
      <c r="P46" s="15" t="n"/>
      <c r="Q46" s="15">
        <f>IF(B46="","",IF(P46&lt;&gt;"",P46-B46,TODAY()-B46))</f>
        <v/>
      </c>
      <c r="R46" s="15" t="n"/>
    </row>
    <row r="47">
      <c r="A47" s="15" t="n"/>
      <c r="B47" s="15" t="n"/>
      <c r="C47" s="15" t="n"/>
      <c r="D47" s="15" t="n"/>
      <c r="E47" s="15" t="n"/>
      <c r="F47" s="15" t="n"/>
      <c r="G47" s="15" t="n"/>
      <c r="H47" s="15" t="n"/>
      <c r="I47" s="15" t="n"/>
      <c r="J47" s="15" t="inlineStr">
        <is>
          <t>Không</t>
        </is>
      </c>
      <c r="K47" s="15" t="n"/>
      <c r="L47" s="15" t="n"/>
      <c r="M47" s="15" t="inlineStr">
        <is>
          <t>Mở</t>
        </is>
      </c>
      <c r="N47" s="15" t="n"/>
      <c r="O47" s="15">
        <f>IF(OR(B47="",L47=""),"",B47+IF(L47="P0",0,IF(L47="P1",7,IF(L47="P2",30,90))))</f>
        <v/>
      </c>
      <c r="P47" s="15" t="n"/>
      <c r="Q47" s="15">
        <f>IF(B47="","",IF(P47&lt;&gt;"",P47-B47,TODAY()-B47))</f>
        <v/>
      </c>
      <c r="R47" s="15" t="n"/>
    </row>
    <row r="48">
      <c r="A48" s="15" t="n"/>
      <c r="B48" s="15" t="n"/>
      <c r="C48" s="15" t="n"/>
      <c r="D48" s="15" t="n"/>
      <c r="E48" s="15" t="n"/>
      <c r="F48" s="15" t="n"/>
      <c r="G48" s="15" t="n"/>
      <c r="H48" s="15" t="n"/>
      <c r="I48" s="15" t="n"/>
      <c r="J48" s="15" t="inlineStr">
        <is>
          <t>Không</t>
        </is>
      </c>
      <c r="K48" s="15" t="n"/>
      <c r="L48" s="15" t="n"/>
      <c r="M48" s="15" t="inlineStr">
        <is>
          <t>Mở</t>
        </is>
      </c>
      <c r="N48" s="15" t="n"/>
      <c r="O48" s="15">
        <f>IF(OR(B48="",L48=""),"",B48+IF(L48="P0",0,IF(L48="P1",7,IF(L48="P2",30,90))))</f>
        <v/>
      </c>
      <c r="P48" s="15" t="n"/>
      <c r="Q48" s="15">
        <f>IF(B48="","",IF(P48&lt;&gt;"",P48-B48,TODAY()-B48))</f>
        <v/>
      </c>
      <c r="R48" s="15" t="n"/>
    </row>
    <row r="49">
      <c r="A49" s="15" t="n"/>
      <c r="B49" s="15" t="n"/>
      <c r="C49" s="15" t="n"/>
      <c r="D49" s="15" t="n"/>
      <c r="E49" s="15" t="n"/>
      <c r="F49" s="15" t="n"/>
      <c r="G49" s="15" t="n"/>
      <c r="H49" s="15" t="n"/>
      <c r="I49" s="15" t="n"/>
      <c r="J49" s="15" t="inlineStr">
        <is>
          <t>Không</t>
        </is>
      </c>
      <c r="K49" s="15" t="n"/>
      <c r="L49" s="15" t="n"/>
      <c r="M49" s="15" t="inlineStr">
        <is>
          <t>Mở</t>
        </is>
      </c>
      <c r="N49" s="15" t="n"/>
      <c r="O49" s="15">
        <f>IF(OR(B49="",L49=""),"",B49+IF(L49="P0",0,IF(L49="P1",7,IF(L49="P2",30,90))))</f>
        <v/>
      </c>
      <c r="P49" s="15" t="n"/>
      <c r="Q49" s="15">
        <f>IF(B49="","",IF(P49&lt;&gt;"",P49-B49,TODAY()-B49))</f>
        <v/>
      </c>
      <c r="R49" s="15" t="n"/>
    </row>
    <row r="50">
      <c r="A50" s="15" t="n"/>
      <c r="B50" s="15" t="n"/>
      <c r="C50" s="15" t="n"/>
      <c r="D50" s="15" t="n"/>
      <c r="E50" s="15" t="n"/>
      <c r="F50" s="15" t="n"/>
      <c r="G50" s="15" t="n"/>
      <c r="H50" s="15" t="n"/>
      <c r="I50" s="15" t="n"/>
      <c r="J50" s="15" t="inlineStr">
        <is>
          <t>Không</t>
        </is>
      </c>
      <c r="K50" s="15" t="n"/>
      <c r="L50" s="15" t="n"/>
      <c r="M50" s="15" t="inlineStr">
        <is>
          <t>Mở</t>
        </is>
      </c>
      <c r="N50" s="15" t="n"/>
      <c r="O50" s="15">
        <f>IF(OR(B50="",L50=""),"",B50+IF(L50="P0",0,IF(L50="P1",7,IF(L50="P2",30,90))))</f>
        <v/>
      </c>
      <c r="P50" s="15" t="n"/>
      <c r="Q50" s="15">
        <f>IF(B50="","",IF(P50&lt;&gt;"",P50-B50,TODAY()-B50))</f>
        <v/>
      </c>
      <c r="R50" s="15" t="n"/>
    </row>
    <row r="51">
      <c r="A51" s="15" t="n"/>
      <c r="B51" s="15" t="n"/>
      <c r="C51" s="15" t="n"/>
      <c r="D51" s="15" t="n"/>
      <c r="E51" s="15" t="n"/>
      <c r="F51" s="15" t="n"/>
      <c r="G51" s="15" t="n"/>
      <c r="H51" s="15" t="n"/>
      <c r="I51" s="15" t="n"/>
      <c r="J51" s="15" t="inlineStr">
        <is>
          <t>Không</t>
        </is>
      </c>
      <c r="K51" s="15" t="n"/>
      <c r="L51" s="15" t="n"/>
      <c r="M51" s="15" t="inlineStr">
        <is>
          <t>Mở</t>
        </is>
      </c>
      <c r="N51" s="15" t="n"/>
      <c r="O51" s="15">
        <f>IF(OR(B51="",L51=""),"",B51+IF(L51="P0",0,IF(L51="P1",7,IF(L51="P2",30,90))))</f>
        <v/>
      </c>
      <c r="P51" s="15" t="n"/>
      <c r="Q51" s="15">
        <f>IF(B51="","",IF(P51&lt;&gt;"",P51-B51,TODAY()-B51))</f>
        <v/>
      </c>
      <c r="R51" s="15" t="n"/>
    </row>
    <row r="52">
      <c r="A52" s="15" t="n"/>
      <c r="B52" s="15" t="n"/>
      <c r="C52" s="15" t="n"/>
      <c r="D52" s="15" t="n"/>
      <c r="E52" s="15" t="n"/>
      <c r="F52" s="15" t="n"/>
      <c r="G52" s="15" t="n"/>
      <c r="H52" s="15" t="n"/>
      <c r="I52" s="15" t="n"/>
      <c r="J52" s="15" t="inlineStr">
        <is>
          <t>Không</t>
        </is>
      </c>
      <c r="K52" s="15" t="n"/>
      <c r="L52" s="15" t="n"/>
      <c r="M52" s="15" t="inlineStr">
        <is>
          <t>Mở</t>
        </is>
      </c>
      <c r="N52" s="15" t="n"/>
      <c r="O52" s="15">
        <f>IF(OR(B52="",L52=""),"",B52+IF(L52="P0",0,IF(L52="P1",7,IF(L52="P2",30,90))))</f>
        <v/>
      </c>
      <c r="P52" s="15" t="n"/>
      <c r="Q52" s="15">
        <f>IF(B52="","",IF(P52&lt;&gt;"",P52-B52,TODAY()-B52))</f>
        <v/>
      </c>
      <c r="R52" s="15" t="n"/>
    </row>
    <row r="53">
      <c r="A53" s="15" t="n"/>
      <c r="B53" s="15" t="n"/>
      <c r="C53" s="15" t="n"/>
      <c r="D53" s="15" t="n"/>
      <c r="E53" s="15" t="n"/>
      <c r="F53" s="15" t="n"/>
      <c r="G53" s="15" t="n"/>
      <c r="H53" s="15" t="n"/>
      <c r="I53" s="15" t="n"/>
      <c r="J53" s="15" t="inlineStr">
        <is>
          <t>Không</t>
        </is>
      </c>
      <c r="K53" s="15" t="n"/>
      <c r="L53" s="15" t="n"/>
      <c r="M53" s="15" t="inlineStr">
        <is>
          <t>Mở</t>
        </is>
      </c>
      <c r="N53" s="15" t="n"/>
      <c r="O53" s="15">
        <f>IF(OR(B53="",L53=""),"",B53+IF(L53="P0",0,IF(L53="P1",7,IF(L53="P2",30,90))))</f>
        <v/>
      </c>
      <c r="P53" s="15" t="n"/>
      <c r="Q53" s="15">
        <f>IF(B53="","",IF(P53&lt;&gt;"",P53-B53,TODAY()-B53))</f>
        <v/>
      </c>
      <c r="R53" s="15" t="n"/>
    </row>
    <row r="54">
      <c r="A54" s="15" t="n"/>
      <c r="B54" s="15" t="n"/>
      <c r="C54" s="15" t="n"/>
      <c r="D54" s="15" t="n"/>
      <c r="E54" s="15" t="n"/>
      <c r="F54" s="15" t="n"/>
      <c r="G54" s="15" t="n"/>
      <c r="H54" s="15" t="n"/>
      <c r="I54" s="15" t="n"/>
      <c r="J54" s="15" t="inlineStr">
        <is>
          <t>Không</t>
        </is>
      </c>
      <c r="K54" s="15" t="n"/>
      <c r="L54" s="15" t="n"/>
      <c r="M54" s="15" t="inlineStr">
        <is>
          <t>Mở</t>
        </is>
      </c>
      <c r="N54" s="15" t="n"/>
      <c r="O54" s="15">
        <f>IF(OR(B54="",L54=""),"",B54+IF(L54="P0",0,IF(L54="P1",7,IF(L54="P2",30,90))))</f>
        <v/>
      </c>
      <c r="P54" s="15" t="n"/>
      <c r="Q54" s="15">
        <f>IF(B54="","",IF(P54&lt;&gt;"",P54-B54,TODAY()-B54))</f>
        <v/>
      </c>
      <c r="R54" s="15" t="n"/>
    </row>
    <row r="55">
      <c r="A55" s="15" t="n"/>
      <c r="B55" s="15" t="n"/>
      <c r="C55" s="15" t="n"/>
      <c r="D55" s="15" t="n"/>
      <c r="E55" s="15" t="n"/>
      <c r="F55" s="15" t="n"/>
      <c r="G55" s="15" t="n"/>
      <c r="H55" s="15" t="n"/>
      <c r="I55" s="15" t="n"/>
      <c r="J55" s="15" t="inlineStr">
        <is>
          <t>Không</t>
        </is>
      </c>
      <c r="K55" s="15" t="n"/>
      <c r="L55" s="15" t="n"/>
      <c r="M55" s="15" t="inlineStr">
        <is>
          <t>Mở</t>
        </is>
      </c>
      <c r="N55" s="15" t="n"/>
      <c r="O55" s="15">
        <f>IF(OR(B55="",L55=""),"",B55+IF(L55="P0",0,IF(L55="P1",7,IF(L55="P2",30,90))))</f>
        <v/>
      </c>
      <c r="P55" s="15" t="n"/>
      <c r="Q55" s="15">
        <f>IF(B55="","",IF(P55&lt;&gt;"",P55-B55,TODAY()-B55))</f>
        <v/>
      </c>
      <c r="R55" s="15" t="n"/>
    </row>
    <row r="56">
      <c r="A56" s="15" t="n"/>
      <c r="B56" s="15" t="n"/>
      <c r="C56" s="15" t="n"/>
      <c r="D56" s="15" t="n"/>
      <c r="E56" s="15" t="n"/>
      <c r="F56" s="15" t="n"/>
      <c r="G56" s="15" t="n"/>
      <c r="H56" s="15" t="n"/>
      <c r="I56" s="15" t="n"/>
      <c r="J56" s="15" t="inlineStr">
        <is>
          <t>Không</t>
        </is>
      </c>
      <c r="K56" s="15" t="n"/>
      <c r="L56" s="15" t="n"/>
      <c r="M56" s="15" t="inlineStr">
        <is>
          <t>Mở</t>
        </is>
      </c>
      <c r="N56" s="15" t="n"/>
      <c r="O56" s="15">
        <f>IF(OR(B56="",L56=""),"",B56+IF(L56="P0",0,IF(L56="P1",7,IF(L56="P2",30,90))))</f>
        <v/>
      </c>
      <c r="P56" s="15" t="n"/>
      <c r="Q56" s="15">
        <f>IF(B56="","",IF(P56&lt;&gt;"",P56-B56,TODAY()-B56))</f>
        <v/>
      </c>
      <c r="R56" s="15" t="n"/>
    </row>
    <row r="57">
      <c r="A57" s="15" t="n"/>
      <c r="B57" s="15" t="n"/>
      <c r="C57" s="15" t="n"/>
      <c r="D57" s="15" t="n"/>
      <c r="E57" s="15" t="n"/>
      <c r="F57" s="15" t="n"/>
      <c r="G57" s="15" t="n"/>
      <c r="H57" s="15" t="n"/>
      <c r="I57" s="15" t="n"/>
      <c r="J57" s="15" t="inlineStr">
        <is>
          <t>Không</t>
        </is>
      </c>
      <c r="K57" s="15" t="n"/>
      <c r="L57" s="15" t="n"/>
      <c r="M57" s="15" t="inlineStr">
        <is>
          <t>Mở</t>
        </is>
      </c>
      <c r="N57" s="15" t="n"/>
      <c r="O57" s="15">
        <f>IF(OR(B57="",L57=""),"",B57+IF(L57="P0",0,IF(L57="P1",7,IF(L57="P2",30,90))))</f>
        <v/>
      </c>
      <c r="P57" s="15" t="n"/>
      <c r="Q57" s="15">
        <f>IF(B57="","",IF(P57&lt;&gt;"",P57-B57,TODAY()-B57))</f>
        <v/>
      </c>
      <c r="R57" s="15" t="n"/>
    </row>
    <row r="58">
      <c r="A58" s="15" t="n"/>
      <c r="B58" s="15" t="n"/>
      <c r="C58" s="15" t="n"/>
      <c r="D58" s="15" t="n"/>
      <c r="E58" s="15" t="n"/>
      <c r="F58" s="15" t="n"/>
      <c r="G58" s="15" t="n"/>
      <c r="H58" s="15" t="n"/>
      <c r="I58" s="15" t="n"/>
      <c r="J58" s="15" t="inlineStr">
        <is>
          <t>Không</t>
        </is>
      </c>
      <c r="K58" s="15" t="n"/>
      <c r="L58" s="15" t="n"/>
      <c r="M58" s="15" t="inlineStr">
        <is>
          <t>Mở</t>
        </is>
      </c>
      <c r="N58" s="15" t="n"/>
      <c r="O58" s="15">
        <f>IF(OR(B58="",L58=""),"",B58+IF(L58="P0",0,IF(L58="P1",7,IF(L58="P2",30,90))))</f>
        <v/>
      </c>
      <c r="P58" s="15" t="n"/>
      <c r="Q58" s="15">
        <f>IF(B58="","",IF(P58&lt;&gt;"",P58-B58,TODAY()-B58))</f>
        <v/>
      </c>
      <c r="R58" s="15" t="n"/>
    </row>
    <row r="59">
      <c r="A59" s="15" t="n"/>
      <c r="B59" s="15" t="n"/>
      <c r="C59" s="15" t="n"/>
      <c r="D59" s="15" t="n"/>
      <c r="E59" s="15" t="n"/>
      <c r="F59" s="15" t="n"/>
      <c r="G59" s="15" t="n"/>
      <c r="H59" s="15" t="n"/>
      <c r="I59" s="15" t="n"/>
      <c r="J59" s="15" t="inlineStr">
        <is>
          <t>Không</t>
        </is>
      </c>
      <c r="K59" s="15" t="n"/>
      <c r="L59" s="15" t="n"/>
      <c r="M59" s="15" t="inlineStr">
        <is>
          <t>Mở</t>
        </is>
      </c>
      <c r="N59" s="15" t="n"/>
      <c r="O59" s="15">
        <f>IF(OR(B59="",L59=""),"",B59+IF(L59="P0",0,IF(L59="P1",7,IF(L59="P2",30,90))))</f>
        <v/>
      </c>
      <c r="P59" s="15" t="n"/>
      <c r="Q59" s="15">
        <f>IF(B59="","",IF(P59&lt;&gt;"",P59-B59,TODAY()-B59))</f>
        <v/>
      </c>
      <c r="R59" s="15" t="n"/>
    </row>
    <row r="60">
      <c r="A60" s="15" t="n"/>
      <c r="B60" s="15" t="n"/>
      <c r="C60" s="15" t="n"/>
      <c r="D60" s="15" t="n"/>
      <c r="E60" s="15" t="n"/>
      <c r="F60" s="15" t="n"/>
      <c r="G60" s="15" t="n"/>
      <c r="H60" s="15" t="n"/>
      <c r="I60" s="15" t="n"/>
      <c r="J60" s="15" t="inlineStr">
        <is>
          <t>Không</t>
        </is>
      </c>
      <c r="K60" s="15" t="n"/>
      <c r="L60" s="15" t="n"/>
      <c r="M60" s="15" t="inlineStr">
        <is>
          <t>Mở</t>
        </is>
      </c>
      <c r="N60" s="15" t="n"/>
      <c r="O60" s="15">
        <f>IF(OR(B60="",L60=""),"",B60+IF(L60="P0",0,IF(L60="P1",7,IF(L60="P2",30,90))))</f>
        <v/>
      </c>
      <c r="P60" s="15" t="n"/>
      <c r="Q60" s="15">
        <f>IF(B60="","",IF(P60&lt;&gt;"",P60-B60,TODAY()-B60))</f>
        <v/>
      </c>
      <c r="R60" s="15" t="n"/>
    </row>
    <row r="61">
      <c r="A61" s="15" t="n"/>
      <c r="B61" s="15" t="n"/>
      <c r="C61" s="15" t="n"/>
      <c r="D61" s="15" t="n"/>
      <c r="E61" s="15" t="n"/>
      <c r="F61" s="15" t="n"/>
      <c r="G61" s="15" t="n"/>
      <c r="H61" s="15" t="n"/>
      <c r="I61" s="15" t="n"/>
      <c r="J61" s="15" t="inlineStr">
        <is>
          <t>Không</t>
        </is>
      </c>
      <c r="K61" s="15" t="n"/>
      <c r="L61" s="15" t="n"/>
      <c r="M61" s="15" t="inlineStr">
        <is>
          <t>Mở</t>
        </is>
      </c>
      <c r="N61" s="15" t="n"/>
      <c r="O61" s="15">
        <f>IF(OR(B61="",L61=""),"",B61+IF(L61="P0",0,IF(L61="P1",7,IF(L61="P2",30,90))))</f>
        <v/>
      </c>
      <c r="P61" s="15" t="n"/>
      <c r="Q61" s="15">
        <f>IF(B61="","",IF(P61&lt;&gt;"",P61-B61,TODAY()-B61))</f>
        <v/>
      </c>
      <c r="R61" s="15" t="n"/>
    </row>
    <row r="62">
      <c r="A62" s="15" t="n"/>
      <c r="B62" s="15" t="n"/>
      <c r="C62" s="15" t="n"/>
      <c r="D62" s="15" t="n"/>
      <c r="E62" s="15" t="n"/>
      <c r="F62" s="15" t="n"/>
      <c r="G62" s="15" t="n"/>
      <c r="H62" s="15" t="n"/>
      <c r="I62" s="15" t="n"/>
      <c r="J62" s="15" t="inlineStr">
        <is>
          <t>Không</t>
        </is>
      </c>
      <c r="K62" s="15" t="n"/>
      <c r="L62" s="15" t="n"/>
      <c r="M62" s="15" t="inlineStr">
        <is>
          <t>Mở</t>
        </is>
      </c>
      <c r="N62" s="15" t="n"/>
      <c r="O62" s="15">
        <f>IF(OR(B62="",L62=""),"",B62+IF(L62="P0",0,IF(L62="P1",7,IF(L62="P2",30,90))))</f>
        <v/>
      </c>
      <c r="P62" s="15" t="n"/>
      <c r="Q62" s="15">
        <f>IF(B62="","",IF(P62&lt;&gt;"",P62-B62,TODAY()-B62))</f>
        <v/>
      </c>
      <c r="R62" s="15" t="n"/>
    </row>
    <row r="63">
      <c r="A63" s="15" t="n"/>
      <c r="B63" s="15" t="n"/>
      <c r="C63" s="15" t="n"/>
      <c r="D63" s="15" t="n"/>
      <c r="E63" s="15" t="n"/>
      <c r="F63" s="15" t="n"/>
      <c r="G63" s="15" t="n"/>
      <c r="H63" s="15" t="n"/>
      <c r="I63" s="15" t="n"/>
      <c r="J63" s="15" t="inlineStr">
        <is>
          <t>Không</t>
        </is>
      </c>
      <c r="K63" s="15" t="n"/>
      <c r="L63" s="15" t="n"/>
      <c r="M63" s="15" t="inlineStr">
        <is>
          <t>Mở</t>
        </is>
      </c>
      <c r="N63" s="15" t="n"/>
      <c r="O63" s="15">
        <f>IF(OR(B63="",L63=""),"",B63+IF(L63="P0",0,IF(L63="P1",7,IF(L63="P2",30,90))))</f>
        <v/>
      </c>
      <c r="P63" s="15" t="n"/>
      <c r="Q63" s="15">
        <f>IF(B63="","",IF(P63&lt;&gt;"",P63-B63,TODAY()-B63))</f>
        <v/>
      </c>
      <c r="R63" s="15" t="n"/>
    </row>
    <row r="64">
      <c r="A64" s="15" t="n"/>
      <c r="B64" s="15" t="n"/>
      <c r="C64" s="15" t="n"/>
      <c r="D64" s="15" t="n"/>
      <c r="E64" s="15" t="n"/>
      <c r="F64" s="15" t="n"/>
      <c r="G64" s="15" t="n"/>
      <c r="H64" s="15" t="n"/>
      <c r="I64" s="15" t="n"/>
      <c r="J64" s="15" t="inlineStr">
        <is>
          <t>Không</t>
        </is>
      </c>
      <c r="K64" s="15" t="n"/>
      <c r="L64" s="15" t="n"/>
      <c r="M64" s="15" t="inlineStr">
        <is>
          <t>Mở</t>
        </is>
      </c>
      <c r="N64" s="15" t="n"/>
      <c r="O64" s="15">
        <f>IF(OR(B64="",L64=""),"",B64+IF(L64="P0",0,IF(L64="P1",7,IF(L64="P2",30,90))))</f>
        <v/>
      </c>
      <c r="P64" s="15" t="n"/>
      <c r="Q64" s="15">
        <f>IF(B64="","",IF(P64&lt;&gt;"",P64-B64,TODAY()-B64))</f>
        <v/>
      </c>
      <c r="R64" s="15" t="n"/>
    </row>
    <row r="65">
      <c r="A65" s="15" t="n"/>
      <c r="B65" s="15" t="n"/>
      <c r="C65" s="15" t="n"/>
      <c r="D65" s="15" t="n"/>
      <c r="E65" s="15" t="n"/>
      <c r="F65" s="15" t="n"/>
      <c r="G65" s="15" t="n"/>
      <c r="H65" s="15" t="n"/>
      <c r="I65" s="15" t="n"/>
      <c r="J65" s="15" t="inlineStr">
        <is>
          <t>Không</t>
        </is>
      </c>
      <c r="K65" s="15" t="n"/>
      <c r="L65" s="15" t="n"/>
      <c r="M65" s="15" t="inlineStr">
        <is>
          <t>Mở</t>
        </is>
      </c>
      <c r="N65" s="15" t="n"/>
      <c r="O65" s="15">
        <f>IF(OR(B65="",L65=""),"",B65+IF(L65="P0",0,IF(L65="P1",7,IF(L65="P2",30,90))))</f>
        <v/>
      </c>
      <c r="P65" s="15" t="n"/>
      <c r="Q65" s="15">
        <f>IF(B65="","",IF(P65&lt;&gt;"",P65-B65,TODAY()-B65))</f>
        <v/>
      </c>
      <c r="R65" s="15" t="n"/>
    </row>
    <row r="66">
      <c r="A66" s="15" t="n"/>
      <c r="B66" s="15" t="n"/>
      <c r="C66" s="15" t="n"/>
      <c r="D66" s="15" t="n"/>
      <c r="E66" s="15" t="n"/>
      <c r="F66" s="15" t="n"/>
      <c r="G66" s="15" t="n"/>
      <c r="H66" s="15" t="n"/>
      <c r="I66" s="15" t="n"/>
      <c r="J66" s="15" t="inlineStr">
        <is>
          <t>Không</t>
        </is>
      </c>
      <c r="K66" s="15" t="n"/>
      <c r="L66" s="15" t="n"/>
      <c r="M66" s="15" t="inlineStr">
        <is>
          <t>Mở</t>
        </is>
      </c>
      <c r="N66" s="15" t="n"/>
      <c r="O66" s="15">
        <f>IF(OR(B66="",L66=""),"",B66+IF(L66="P0",0,IF(L66="P1",7,IF(L66="P2",30,90))))</f>
        <v/>
      </c>
      <c r="P66" s="15" t="n"/>
      <c r="Q66" s="15">
        <f>IF(B66="","",IF(P66&lt;&gt;"",P66-B66,TODAY()-B66))</f>
        <v/>
      </c>
      <c r="R66" s="15" t="n"/>
    </row>
    <row r="67">
      <c r="A67" s="15" t="n"/>
      <c r="B67" s="15" t="n"/>
      <c r="C67" s="15" t="n"/>
      <c r="D67" s="15" t="n"/>
      <c r="E67" s="15" t="n"/>
      <c r="F67" s="15" t="n"/>
      <c r="G67" s="15" t="n"/>
      <c r="H67" s="15" t="n"/>
      <c r="I67" s="15" t="n"/>
      <c r="J67" s="15" t="inlineStr">
        <is>
          <t>Không</t>
        </is>
      </c>
      <c r="K67" s="15" t="n"/>
      <c r="L67" s="15" t="n"/>
      <c r="M67" s="15" t="inlineStr">
        <is>
          <t>Mở</t>
        </is>
      </c>
      <c r="N67" s="15" t="n"/>
      <c r="O67" s="15">
        <f>IF(OR(B67="",L67=""),"",B67+IF(L67="P0",0,IF(L67="P1",7,IF(L67="P2",30,90))))</f>
        <v/>
      </c>
      <c r="P67" s="15" t="n"/>
      <c r="Q67" s="15">
        <f>IF(B67="","",IF(P67&lt;&gt;"",P67-B67,TODAY()-B67))</f>
        <v/>
      </c>
      <c r="R67" s="15" t="n"/>
    </row>
    <row r="68">
      <c r="A68" s="15" t="n"/>
      <c r="B68" s="15" t="n"/>
      <c r="C68" s="15" t="n"/>
      <c r="D68" s="15" t="n"/>
      <c r="E68" s="15" t="n"/>
      <c r="F68" s="15" t="n"/>
      <c r="G68" s="15" t="n"/>
      <c r="H68" s="15" t="n"/>
      <c r="I68" s="15" t="n"/>
      <c r="J68" s="15" t="inlineStr">
        <is>
          <t>Không</t>
        </is>
      </c>
      <c r="K68" s="15" t="n"/>
      <c r="L68" s="15" t="n"/>
      <c r="M68" s="15" t="inlineStr">
        <is>
          <t>Mở</t>
        </is>
      </c>
      <c r="N68" s="15" t="n"/>
      <c r="O68" s="15">
        <f>IF(OR(B68="",L68=""),"",B68+IF(L68="P0",0,IF(L68="P1",7,IF(L68="P2",30,90))))</f>
        <v/>
      </c>
      <c r="P68" s="15" t="n"/>
      <c r="Q68" s="15">
        <f>IF(B68="","",IF(P68&lt;&gt;"",P68-B68,TODAY()-B68))</f>
        <v/>
      </c>
      <c r="R68" s="15" t="n"/>
    </row>
    <row r="69">
      <c r="A69" s="15" t="n"/>
      <c r="B69" s="15" t="n"/>
      <c r="C69" s="15" t="n"/>
      <c r="D69" s="15" t="n"/>
      <c r="E69" s="15" t="n"/>
      <c r="F69" s="15" t="n"/>
      <c r="G69" s="15" t="n"/>
      <c r="H69" s="15" t="n"/>
      <c r="I69" s="15" t="n"/>
      <c r="J69" s="15" t="inlineStr">
        <is>
          <t>Không</t>
        </is>
      </c>
      <c r="K69" s="15" t="n"/>
      <c r="L69" s="15" t="n"/>
      <c r="M69" s="15" t="inlineStr">
        <is>
          <t>Mở</t>
        </is>
      </c>
      <c r="N69" s="15" t="n"/>
      <c r="O69" s="15">
        <f>IF(OR(B69="",L69=""),"",B69+IF(L69="P0",0,IF(L69="P1",7,IF(L69="P2",30,90))))</f>
        <v/>
      </c>
      <c r="P69" s="15" t="n"/>
      <c r="Q69" s="15">
        <f>IF(B69="","",IF(P69&lt;&gt;"",P69-B69,TODAY()-B69))</f>
        <v/>
      </c>
      <c r="R69" s="15" t="n"/>
    </row>
    <row r="70">
      <c r="A70" s="15" t="n"/>
      <c r="B70" s="15" t="n"/>
      <c r="C70" s="15" t="n"/>
      <c r="D70" s="15" t="n"/>
      <c r="E70" s="15" t="n"/>
      <c r="F70" s="15" t="n"/>
      <c r="G70" s="15" t="n"/>
      <c r="H70" s="15" t="n"/>
      <c r="I70" s="15" t="n"/>
      <c r="J70" s="15" t="inlineStr">
        <is>
          <t>Không</t>
        </is>
      </c>
      <c r="K70" s="15" t="n"/>
      <c r="L70" s="15" t="n"/>
      <c r="M70" s="15" t="inlineStr">
        <is>
          <t>Mở</t>
        </is>
      </c>
      <c r="N70" s="15" t="n"/>
      <c r="O70" s="15">
        <f>IF(OR(B70="",L70=""),"",B70+IF(L70="P0",0,IF(L70="P1",7,IF(L70="P2",30,90))))</f>
        <v/>
      </c>
      <c r="P70" s="15" t="n"/>
      <c r="Q70" s="15">
        <f>IF(B70="","",IF(P70&lt;&gt;"",P70-B70,TODAY()-B70))</f>
        <v/>
      </c>
      <c r="R70" s="15" t="n"/>
    </row>
    <row r="71">
      <c r="A71" s="15" t="n"/>
      <c r="B71" s="15" t="n"/>
      <c r="C71" s="15" t="n"/>
      <c r="D71" s="15" t="n"/>
      <c r="E71" s="15" t="n"/>
      <c r="F71" s="15" t="n"/>
      <c r="G71" s="15" t="n"/>
      <c r="H71" s="15" t="n"/>
      <c r="I71" s="15" t="n"/>
      <c r="J71" s="15" t="inlineStr">
        <is>
          <t>Không</t>
        </is>
      </c>
      <c r="K71" s="15" t="n"/>
      <c r="L71" s="15" t="n"/>
      <c r="M71" s="15" t="inlineStr">
        <is>
          <t>Mở</t>
        </is>
      </c>
      <c r="N71" s="15" t="n"/>
      <c r="O71" s="15">
        <f>IF(OR(B71="",L71=""),"",B71+IF(L71="P0",0,IF(L71="P1",7,IF(L71="P2",30,90))))</f>
        <v/>
      </c>
      <c r="P71" s="15" t="n"/>
      <c r="Q71" s="15">
        <f>IF(B71="","",IF(P71&lt;&gt;"",P71-B71,TODAY()-B71))</f>
        <v/>
      </c>
      <c r="R71" s="15" t="n"/>
    </row>
    <row r="72">
      <c r="A72" s="15" t="n"/>
      <c r="B72" s="15" t="n"/>
      <c r="C72" s="15" t="n"/>
      <c r="D72" s="15" t="n"/>
      <c r="E72" s="15" t="n"/>
      <c r="F72" s="15" t="n"/>
      <c r="G72" s="15" t="n"/>
      <c r="H72" s="15" t="n"/>
      <c r="I72" s="15" t="n"/>
      <c r="J72" s="15" t="inlineStr">
        <is>
          <t>Không</t>
        </is>
      </c>
      <c r="K72" s="15" t="n"/>
      <c r="L72" s="15" t="n"/>
      <c r="M72" s="15" t="inlineStr">
        <is>
          <t>Mở</t>
        </is>
      </c>
      <c r="N72" s="15" t="n"/>
      <c r="O72" s="15">
        <f>IF(OR(B72="",L72=""),"",B72+IF(L72="P0",0,IF(L72="P1",7,IF(L72="P2",30,90))))</f>
        <v/>
      </c>
      <c r="P72" s="15" t="n"/>
      <c r="Q72" s="15">
        <f>IF(B72="","",IF(P72&lt;&gt;"",P72-B72,TODAY()-B72))</f>
        <v/>
      </c>
      <c r="R72" s="15" t="n"/>
    </row>
    <row r="73">
      <c r="A73" s="15" t="n"/>
      <c r="B73" s="15" t="n"/>
      <c r="C73" s="15" t="n"/>
      <c r="D73" s="15" t="n"/>
      <c r="E73" s="15" t="n"/>
      <c r="F73" s="15" t="n"/>
      <c r="G73" s="15" t="n"/>
      <c r="H73" s="15" t="n"/>
      <c r="I73" s="15" t="n"/>
      <c r="J73" s="15" t="inlineStr">
        <is>
          <t>Không</t>
        </is>
      </c>
      <c r="K73" s="15" t="n"/>
      <c r="L73" s="15" t="n"/>
      <c r="M73" s="15" t="inlineStr">
        <is>
          <t>Mở</t>
        </is>
      </c>
      <c r="N73" s="15" t="n"/>
      <c r="O73" s="15">
        <f>IF(OR(B73="",L73=""),"",B73+IF(L73="P0",0,IF(L73="P1",7,IF(L73="P2",30,90))))</f>
        <v/>
      </c>
      <c r="P73" s="15" t="n"/>
      <c r="Q73" s="15">
        <f>IF(B73="","",IF(P73&lt;&gt;"",P73-B73,TODAY()-B73))</f>
        <v/>
      </c>
      <c r="R73" s="15" t="n"/>
    </row>
    <row r="74">
      <c r="A74" s="15" t="n"/>
      <c r="B74" s="15" t="n"/>
      <c r="C74" s="15" t="n"/>
      <c r="D74" s="15" t="n"/>
      <c r="E74" s="15" t="n"/>
      <c r="F74" s="15" t="n"/>
      <c r="G74" s="15" t="n"/>
      <c r="H74" s="15" t="n"/>
      <c r="I74" s="15" t="n"/>
      <c r="J74" s="15" t="inlineStr">
        <is>
          <t>Không</t>
        </is>
      </c>
      <c r="K74" s="15" t="n"/>
      <c r="L74" s="15" t="n"/>
      <c r="M74" s="15" t="inlineStr">
        <is>
          <t>Mở</t>
        </is>
      </c>
      <c r="N74" s="15" t="n"/>
      <c r="O74" s="15">
        <f>IF(OR(B74="",L74=""),"",B74+IF(L74="P0",0,IF(L74="P1",7,IF(L74="P2",30,90))))</f>
        <v/>
      </c>
      <c r="P74" s="15" t="n"/>
      <c r="Q74" s="15">
        <f>IF(B74="","",IF(P74&lt;&gt;"",P74-B74,TODAY()-B74))</f>
        <v/>
      </c>
      <c r="R74" s="15" t="n"/>
    </row>
    <row r="75">
      <c r="A75" s="15" t="n"/>
      <c r="B75" s="15" t="n"/>
      <c r="C75" s="15" t="n"/>
      <c r="D75" s="15" t="n"/>
      <c r="E75" s="15" t="n"/>
      <c r="F75" s="15" t="n"/>
      <c r="G75" s="15" t="n"/>
      <c r="H75" s="15" t="n"/>
      <c r="I75" s="15" t="n"/>
      <c r="J75" s="15" t="inlineStr">
        <is>
          <t>Không</t>
        </is>
      </c>
      <c r="K75" s="15" t="n"/>
      <c r="L75" s="15" t="n"/>
      <c r="M75" s="15" t="inlineStr">
        <is>
          <t>Mở</t>
        </is>
      </c>
      <c r="N75" s="15" t="n"/>
      <c r="O75" s="15">
        <f>IF(OR(B75="",L75=""),"",B75+IF(L75="P0",0,IF(L75="P1",7,IF(L75="P2",30,90))))</f>
        <v/>
      </c>
      <c r="P75" s="15" t="n"/>
      <c r="Q75" s="15">
        <f>IF(B75="","",IF(P75&lt;&gt;"",P75-B75,TODAY()-B75))</f>
        <v/>
      </c>
      <c r="R75" s="15" t="n"/>
    </row>
    <row r="76">
      <c r="A76" s="15" t="n"/>
      <c r="B76" s="15" t="n"/>
      <c r="C76" s="15" t="n"/>
      <c r="D76" s="15" t="n"/>
      <c r="E76" s="15" t="n"/>
      <c r="F76" s="15" t="n"/>
      <c r="G76" s="15" t="n"/>
      <c r="H76" s="15" t="n"/>
      <c r="I76" s="15" t="n"/>
      <c r="J76" s="15" t="inlineStr">
        <is>
          <t>Không</t>
        </is>
      </c>
      <c r="K76" s="15" t="n"/>
      <c r="L76" s="15" t="n"/>
      <c r="M76" s="15" t="inlineStr">
        <is>
          <t>Mở</t>
        </is>
      </c>
      <c r="N76" s="15" t="n"/>
      <c r="O76" s="15">
        <f>IF(OR(B76="",L76=""),"",B76+IF(L76="P0",0,IF(L76="P1",7,IF(L76="P2",30,90))))</f>
        <v/>
      </c>
      <c r="P76" s="15" t="n"/>
      <c r="Q76" s="15">
        <f>IF(B76="","",IF(P76&lt;&gt;"",P76-B76,TODAY()-B76))</f>
        <v/>
      </c>
      <c r="R76" s="15" t="n"/>
    </row>
    <row r="77">
      <c r="A77" s="15" t="n"/>
      <c r="B77" s="15" t="n"/>
      <c r="C77" s="15" t="n"/>
      <c r="D77" s="15" t="n"/>
      <c r="E77" s="15" t="n"/>
      <c r="F77" s="15" t="n"/>
      <c r="G77" s="15" t="n"/>
      <c r="H77" s="15" t="n"/>
      <c r="I77" s="15" t="n"/>
      <c r="J77" s="15" t="inlineStr">
        <is>
          <t>Không</t>
        </is>
      </c>
      <c r="K77" s="15" t="n"/>
      <c r="L77" s="15" t="n"/>
      <c r="M77" s="15" t="inlineStr">
        <is>
          <t>Mở</t>
        </is>
      </c>
      <c r="N77" s="15" t="n"/>
      <c r="O77" s="15">
        <f>IF(OR(B77="",L77=""),"",B77+IF(L77="P0",0,IF(L77="P1",7,IF(L77="P2",30,90))))</f>
        <v/>
      </c>
      <c r="P77" s="15" t="n"/>
      <c r="Q77" s="15">
        <f>IF(B77="","",IF(P77&lt;&gt;"",P77-B77,TODAY()-B77))</f>
        <v/>
      </c>
      <c r="R77" s="15" t="n"/>
    </row>
    <row r="78">
      <c r="A78" s="15" t="n"/>
      <c r="B78" s="15" t="n"/>
      <c r="C78" s="15" t="n"/>
      <c r="D78" s="15" t="n"/>
      <c r="E78" s="15" t="n"/>
      <c r="F78" s="15" t="n"/>
      <c r="G78" s="15" t="n"/>
      <c r="H78" s="15" t="n"/>
      <c r="I78" s="15" t="n"/>
      <c r="J78" s="15" t="inlineStr">
        <is>
          <t>Không</t>
        </is>
      </c>
      <c r="K78" s="15" t="n"/>
      <c r="L78" s="15" t="n"/>
      <c r="M78" s="15" t="inlineStr">
        <is>
          <t>Mở</t>
        </is>
      </c>
      <c r="N78" s="15" t="n"/>
      <c r="O78" s="15">
        <f>IF(OR(B78="",L78=""),"",B78+IF(L78="P0",0,IF(L78="P1",7,IF(L78="P2",30,90))))</f>
        <v/>
      </c>
      <c r="P78" s="15" t="n"/>
      <c r="Q78" s="15">
        <f>IF(B78="","",IF(P78&lt;&gt;"",P78-B78,TODAY()-B78))</f>
        <v/>
      </c>
      <c r="R78" s="15" t="n"/>
    </row>
    <row r="79">
      <c r="A79" s="15" t="n"/>
      <c r="B79" s="15" t="n"/>
      <c r="C79" s="15" t="n"/>
      <c r="D79" s="15" t="n"/>
      <c r="E79" s="15" t="n"/>
      <c r="F79" s="15" t="n"/>
      <c r="G79" s="15" t="n"/>
      <c r="H79" s="15" t="n"/>
      <c r="I79" s="15" t="n"/>
      <c r="J79" s="15" t="inlineStr">
        <is>
          <t>Không</t>
        </is>
      </c>
      <c r="K79" s="15" t="n"/>
      <c r="L79" s="15" t="n"/>
      <c r="M79" s="15" t="inlineStr">
        <is>
          <t>Mở</t>
        </is>
      </c>
      <c r="N79" s="15" t="n"/>
      <c r="O79" s="15">
        <f>IF(OR(B79="",L79=""),"",B79+IF(L79="P0",0,IF(L79="P1",7,IF(L79="P2",30,90))))</f>
        <v/>
      </c>
      <c r="P79" s="15" t="n"/>
      <c r="Q79" s="15">
        <f>IF(B79="","",IF(P79&lt;&gt;"",P79-B79,TODAY()-B79))</f>
        <v/>
      </c>
      <c r="R79" s="15" t="n"/>
    </row>
    <row r="80">
      <c r="A80" s="15" t="n"/>
      <c r="B80" s="15" t="n"/>
      <c r="C80" s="15" t="n"/>
      <c r="D80" s="15" t="n"/>
      <c r="E80" s="15" t="n"/>
      <c r="F80" s="15" t="n"/>
      <c r="G80" s="15" t="n"/>
      <c r="H80" s="15" t="n"/>
      <c r="I80" s="15" t="n"/>
      <c r="J80" s="15" t="inlineStr">
        <is>
          <t>Không</t>
        </is>
      </c>
      <c r="K80" s="15" t="n"/>
      <c r="L80" s="15" t="n"/>
      <c r="M80" s="15" t="inlineStr">
        <is>
          <t>Mở</t>
        </is>
      </c>
      <c r="N80" s="15" t="n"/>
      <c r="O80" s="15">
        <f>IF(OR(B80="",L80=""),"",B80+IF(L80="P0",0,IF(L80="P1",7,IF(L80="P2",30,90))))</f>
        <v/>
      </c>
      <c r="P80" s="15" t="n"/>
      <c r="Q80" s="15">
        <f>IF(B80="","",IF(P80&lt;&gt;"",P80-B80,TODAY()-B80))</f>
        <v/>
      </c>
      <c r="R80" s="15" t="n"/>
    </row>
    <row r="81">
      <c r="A81" s="15" t="n"/>
      <c r="B81" s="15" t="n"/>
      <c r="C81" s="15" t="n"/>
      <c r="D81" s="15" t="n"/>
      <c r="E81" s="15" t="n"/>
      <c r="F81" s="15" t="n"/>
      <c r="G81" s="15" t="n"/>
      <c r="H81" s="15" t="n"/>
      <c r="I81" s="15" t="n"/>
      <c r="J81" s="15" t="inlineStr">
        <is>
          <t>Không</t>
        </is>
      </c>
      <c r="K81" s="15" t="n"/>
      <c r="L81" s="15" t="n"/>
      <c r="M81" s="15" t="inlineStr">
        <is>
          <t>Mở</t>
        </is>
      </c>
      <c r="N81" s="15" t="n"/>
      <c r="O81" s="15">
        <f>IF(OR(B81="",L81=""),"",B81+IF(L81="P0",0,IF(L81="P1",7,IF(L81="P2",30,90))))</f>
        <v/>
      </c>
      <c r="P81" s="15" t="n"/>
      <c r="Q81" s="15">
        <f>IF(B81="","",IF(P81&lt;&gt;"",P81-B81,TODAY()-B81))</f>
        <v/>
      </c>
      <c r="R81" s="15" t="n"/>
    </row>
    <row r="82">
      <c r="A82" s="15" t="n"/>
      <c r="B82" s="15" t="n"/>
      <c r="C82" s="15" t="n"/>
      <c r="D82" s="15" t="n"/>
      <c r="E82" s="15" t="n"/>
      <c r="F82" s="15" t="n"/>
      <c r="G82" s="15" t="n"/>
      <c r="H82" s="15" t="n"/>
      <c r="I82" s="15" t="n"/>
      <c r="J82" s="15" t="inlineStr">
        <is>
          <t>Không</t>
        </is>
      </c>
      <c r="K82" s="15" t="n"/>
      <c r="L82" s="15" t="n"/>
      <c r="M82" s="15" t="inlineStr">
        <is>
          <t>Mở</t>
        </is>
      </c>
      <c r="N82" s="15" t="n"/>
      <c r="O82" s="15">
        <f>IF(OR(B82="",L82=""),"",B82+IF(L82="P0",0,IF(L82="P1",7,IF(L82="P2",30,90))))</f>
        <v/>
      </c>
      <c r="P82" s="15" t="n"/>
      <c r="Q82" s="15">
        <f>IF(B82="","",IF(P82&lt;&gt;"",P82-B82,TODAY()-B82))</f>
        <v/>
      </c>
      <c r="R82" s="15" t="n"/>
    </row>
    <row r="83">
      <c r="A83" s="15" t="n"/>
      <c r="B83" s="15" t="n"/>
      <c r="C83" s="15" t="n"/>
      <c r="D83" s="15" t="n"/>
      <c r="E83" s="15" t="n"/>
      <c r="F83" s="15" t="n"/>
      <c r="G83" s="15" t="n"/>
      <c r="H83" s="15" t="n"/>
      <c r="I83" s="15" t="n"/>
      <c r="J83" s="15" t="inlineStr">
        <is>
          <t>Không</t>
        </is>
      </c>
      <c r="K83" s="15" t="n"/>
      <c r="L83" s="15" t="n"/>
      <c r="M83" s="15" t="inlineStr">
        <is>
          <t>Mở</t>
        </is>
      </c>
      <c r="N83" s="15" t="n"/>
      <c r="O83" s="15">
        <f>IF(OR(B83="",L83=""),"",B83+IF(L83="P0",0,IF(L83="P1",7,IF(L83="P2",30,90))))</f>
        <v/>
      </c>
      <c r="P83" s="15" t="n"/>
      <c r="Q83" s="15">
        <f>IF(B83="","",IF(P83&lt;&gt;"",P83-B83,TODAY()-B83))</f>
        <v/>
      </c>
      <c r="R83" s="15" t="n"/>
    </row>
    <row r="84">
      <c r="A84" s="15" t="n"/>
      <c r="B84" s="15" t="n"/>
      <c r="C84" s="15" t="n"/>
      <c r="D84" s="15" t="n"/>
      <c r="E84" s="15" t="n"/>
      <c r="F84" s="15" t="n"/>
      <c r="G84" s="15" t="n"/>
      <c r="H84" s="15" t="n"/>
      <c r="I84" s="15" t="n"/>
      <c r="J84" s="15" t="inlineStr">
        <is>
          <t>Không</t>
        </is>
      </c>
      <c r="K84" s="15" t="n"/>
      <c r="L84" s="15" t="n"/>
      <c r="M84" s="15" t="inlineStr">
        <is>
          <t>Mở</t>
        </is>
      </c>
      <c r="N84" s="15" t="n"/>
      <c r="O84" s="15">
        <f>IF(OR(B84="",L84=""),"",B84+IF(L84="P0",0,IF(L84="P1",7,IF(L84="P2",30,90))))</f>
        <v/>
      </c>
      <c r="P84" s="15" t="n"/>
      <c r="Q84" s="15">
        <f>IF(B84="","",IF(P84&lt;&gt;"",P84-B84,TODAY()-B84))</f>
        <v/>
      </c>
      <c r="R84" s="15" t="n"/>
    </row>
    <row r="85">
      <c r="A85" s="15" t="n"/>
      <c r="B85" s="15" t="n"/>
      <c r="C85" s="15" t="n"/>
      <c r="D85" s="15" t="n"/>
      <c r="E85" s="15" t="n"/>
      <c r="F85" s="15" t="n"/>
      <c r="G85" s="15" t="n"/>
      <c r="H85" s="15" t="n"/>
      <c r="I85" s="15" t="n"/>
      <c r="J85" s="15" t="inlineStr">
        <is>
          <t>Không</t>
        </is>
      </c>
      <c r="K85" s="15" t="n"/>
      <c r="L85" s="15" t="n"/>
      <c r="M85" s="15" t="inlineStr">
        <is>
          <t>Mở</t>
        </is>
      </c>
      <c r="N85" s="15" t="n"/>
      <c r="O85" s="15">
        <f>IF(OR(B85="",L85=""),"",B85+IF(L85="P0",0,IF(L85="P1",7,IF(L85="P2",30,90))))</f>
        <v/>
      </c>
      <c r="P85" s="15" t="n"/>
      <c r="Q85" s="15">
        <f>IF(B85="","",IF(P85&lt;&gt;"",P85-B85,TODAY()-B85))</f>
        <v/>
      </c>
      <c r="R85" s="15" t="n"/>
    </row>
    <row r="86">
      <c r="A86" s="15" t="n"/>
      <c r="B86" s="15" t="n"/>
      <c r="C86" s="15" t="n"/>
      <c r="D86" s="15" t="n"/>
      <c r="E86" s="15" t="n"/>
      <c r="F86" s="15" t="n"/>
      <c r="G86" s="15" t="n"/>
      <c r="H86" s="15" t="n"/>
      <c r="I86" s="15" t="n"/>
      <c r="J86" s="15" t="inlineStr">
        <is>
          <t>Không</t>
        </is>
      </c>
      <c r="K86" s="15" t="n"/>
      <c r="L86" s="15" t="n"/>
      <c r="M86" s="15" t="inlineStr">
        <is>
          <t>Mở</t>
        </is>
      </c>
      <c r="N86" s="15" t="n"/>
      <c r="O86" s="15">
        <f>IF(OR(B86="",L86=""),"",B86+IF(L86="P0",0,IF(L86="P1",7,IF(L86="P2",30,90))))</f>
        <v/>
      </c>
      <c r="P86" s="15" t="n"/>
      <c r="Q86" s="15">
        <f>IF(B86="","",IF(P86&lt;&gt;"",P86-B86,TODAY()-B86))</f>
        <v/>
      </c>
      <c r="R86" s="15" t="n"/>
    </row>
    <row r="87">
      <c r="A87" s="15" t="n"/>
      <c r="B87" s="15" t="n"/>
      <c r="C87" s="15" t="n"/>
      <c r="D87" s="15" t="n"/>
      <c r="E87" s="15" t="n"/>
      <c r="F87" s="15" t="n"/>
      <c r="G87" s="15" t="n"/>
      <c r="H87" s="15" t="n"/>
      <c r="I87" s="15" t="n"/>
      <c r="J87" s="15" t="inlineStr">
        <is>
          <t>Không</t>
        </is>
      </c>
      <c r="K87" s="15" t="n"/>
      <c r="L87" s="15" t="n"/>
      <c r="M87" s="15" t="inlineStr">
        <is>
          <t>Mở</t>
        </is>
      </c>
      <c r="N87" s="15" t="n"/>
      <c r="O87" s="15">
        <f>IF(OR(B87="",L87=""),"",B87+IF(L87="P0",0,IF(L87="P1",7,IF(L87="P2",30,90))))</f>
        <v/>
      </c>
      <c r="P87" s="15" t="n"/>
      <c r="Q87" s="15">
        <f>IF(B87="","",IF(P87&lt;&gt;"",P87-B87,TODAY()-B87))</f>
        <v/>
      </c>
      <c r="R87" s="15" t="n"/>
    </row>
    <row r="88">
      <c r="A88" s="15" t="n"/>
      <c r="B88" s="15" t="n"/>
      <c r="C88" s="15" t="n"/>
      <c r="D88" s="15" t="n"/>
      <c r="E88" s="15" t="n"/>
      <c r="F88" s="15" t="n"/>
      <c r="G88" s="15" t="n"/>
      <c r="H88" s="15" t="n"/>
      <c r="I88" s="15" t="n"/>
      <c r="J88" s="15" t="inlineStr">
        <is>
          <t>Không</t>
        </is>
      </c>
      <c r="K88" s="15" t="n"/>
      <c r="L88" s="15" t="n"/>
      <c r="M88" s="15" t="inlineStr">
        <is>
          <t>Mở</t>
        </is>
      </c>
      <c r="N88" s="15" t="n"/>
      <c r="O88" s="15">
        <f>IF(OR(B88="",L88=""),"",B88+IF(L88="P0",0,IF(L88="P1",7,IF(L88="P2",30,90))))</f>
        <v/>
      </c>
      <c r="P88" s="15" t="n"/>
      <c r="Q88" s="15">
        <f>IF(B88="","",IF(P88&lt;&gt;"",P88-B88,TODAY()-B88))</f>
        <v/>
      </c>
      <c r="R88" s="15" t="n"/>
    </row>
    <row r="89">
      <c r="A89" s="15" t="n"/>
      <c r="B89" s="15" t="n"/>
      <c r="C89" s="15" t="n"/>
      <c r="D89" s="15" t="n"/>
      <c r="E89" s="15" t="n"/>
      <c r="F89" s="15" t="n"/>
      <c r="G89" s="15" t="n"/>
      <c r="H89" s="15" t="n"/>
      <c r="I89" s="15" t="n"/>
      <c r="J89" s="15" t="inlineStr">
        <is>
          <t>Không</t>
        </is>
      </c>
      <c r="K89" s="15" t="n"/>
      <c r="L89" s="15" t="n"/>
      <c r="M89" s="15" t="inlineStr">
        <is>
          <t>Mở</t>
        </is>
      </c>
      <c r="N89" s="15" t="n"/>
      <c r="O89" s="15">
        <f>IF(OR(B89="",L89=""),"",B89+IF(L89="P0",0,IF(L89="P1",7,IF(L89="P2",30,90))))</f>
        <v/>
      </c>
      <c r="P89" s="15" t="n"/>
      <c r="Q89" s="15">
        <f>IF(B89="","",IF(P89&lt;&gt;"",P89-B89,TODAY()-B89))</f>
        <v/>
      </c>
      <c r="R89" s="15" t="n"/>
    </row>
    <row r="90">
      <c r="A90" s="15" t="n"/>
      <c r="B90" s="15" t="n"/>
      <c r="C90" s="15" t="n"/>
      <c r="D90" s="15" t="n"/>
      <c r="E90" s="15" t="n"/>
      <c r="F90" s="15" t="n"/>
      <c r="G90" s="15" t="n"/>
      <c r="H90" s="15" t="n"/>
      <c r="I90" s="15" t="n"/>
      <c r="J90" s="15" t="inlineStr">
        <is>
          <t>Không</t>
        </is>
      </c>
      <c r="K90" s="15" t="n"/>
      <c r="L90" s="15" t="n"/>
      <c r="M90" s="15" t="inlineStr">
        <is>
          <t>Mở</t>
        </is>
      </c>
      <c r="N90" s="15" t="n"/>
      <c r="O90" s="15">
        <f>IF(OR(B90="",L90=""),"",B90+IF(L90="P0",0,IF(L90="P1",7,IF(L90="P2",30,90))))</f>
        <v/>
      </c>
      <c r="P90" s="15" t="n"/>
      <c r="Q90" s="15">
        <f>IF(B90="","",IF(P90&lt;&gt;"",P90-B90,TODAY()-B90))</f>
        <v/>
      </c>
      <c r="R90" s="15" t="n"/>
    </row>
    <row r="91">
      <c r="A91" s="15" t="n"/>
      <c r="B91" s="15" t="n"/>
      <c r="C91" s="15" t="n"/>
      <c r="D91" s="15" t="n"/>
      <c r="E91" s="15" t="n"/>
      <c r="F91" s="15" t="n"/>
      <c r="G91" s="15" t="n"/>
      <c r="H91" s="15" t="n"/>
      <c r="I91" s="15" t="n"/>
      <c r="J91" s="15" t="inlineStr">
        <is>
          <t>Không</t>
        </is>
      </c>
      <c r="K91" s="15" t="n"/>
      <c r="L91" s="15" t="n"/>
      <c r="M91" s="15" t="inlineStr">
        <is>
          <t>Mở</t>
        </is>
      </c>
      <c r="N91" s="15" t="n"/>
      <c r="O91" s="15">
        <f>IF(OR(B91="",L91=""),"",B91+IF(L91="P0",0,IF(L91="P1",7,IF(L91="P2",30,90))))</f>
        <v/>
      </c>
      <c r="P91" s="15" t="n"/>
      <c r="Q91" s="15">
        <f>IF(B91="","",IF(P91&lt;&gt;"",P91-B91,TODAY()-B91))</f>
        <v/>
      </c>
      <c r="R91" s="15" t="n"/>
    </row>
    <row r="92">
      <c r="A92" s="15" t="n"/>
      <c r="B92" s="15" t="n"/>
      <c r="C92" s="15" t="n"/>
      <c r="D92" s="15" t="n"/>
      <c r="E92" s="15" t="n"/>
      <c r="F92" s="15" t="n"/>
      <c r="G92" s="15" t="n"/>
      <c r="H92" s="15" t="n"/>
      <c r="I92" s="15" t="n"/>
      <c r="J92" s="15" t="inlineStr">
        <is>
          <t>Không</t>
        </is>
      </c>
      <c r="K92" s="15" t="n"/>
      <c r="L92" s="15" t="n"/>
      <c r="M92" s="15" t="inlineStr">
        <is>
          <t>Mở</t>
        </is>
      </c>
      <c r="N92" s="15" t="n"/>
      <c r="O92" s="15">
        <f>IF(OR(B92="",L92=""),"",B92+IF(L92="P0",0,IF(L92="P1",7,IF(L92="P2",30,90))))</f>
        <v/>
      </c>
      <c r="P92" s="15" t="n"/>
      <c r="Q92" s="15">
        <f>IF(B92="","",IF(P92&lt;&gt;"",P92-B92,TODAY()-B92))</f>
        <v/>
      </c>
      <c r="R92" s="15" t="n"/>
    </row>
    <row r="93">
      <c r="A93" s="15" t="n"/>
      <c r="B93" s="15" t="n"/>
      <c r="C93" s="15" t="n"/>
      <c r="D93" s="15" t="n"/>
      <c r="E93" s="15" t="n"/>
      <c r="F93" s="15" t="n"/>
      <c r="G93" s="15" t="n"/>
      <c r="H93" s="15" t="n"/>
      <c r="I93" s="15" t="n"/>
      <c r="J93" s="15" t="inlineStr">
        <is>
          <t>Không</t>
        </is>
      </c>
      <c r="K93" s="15" t="n"/>
      <c r="L93" s="15" t="n"/>
      <c r="M93" s="15" t="inlineStr">
        <is>
          <t>Mở</t>
        </is>
      </c>
      <c r="N93" s="15" t="n"/>
      <c r="O93" s="15">
        <f>IF(OR(B93="",L93=""),"",B93+IF(L93="P0",0,IF(L93="P1",7,IF(L93="P2",30,90))))</f>
        <v/>
      </c>
      <c r="P93" s="15" t="n"/>
      <c r="Q93" s="15">
        <f>IF(B93="","",IF(P93&lt;&gt;"",P93-B93,TODAY()-B93))</f>
        <v/>
      </c>
      <c r="R93" s="15" t="n"/>
    </row>
    <row r="94">
      <c r="A94" s="15" t="n"/>
      <c r="B94" s="15" t="n"/>
      <c r="C94" s="15" t="n"/>
      <c r="D94" s="15" t="n"/>
      <c r="E94" s="15" t="n"/>
      <c r="F94" s="15" t="n"/>
      <c r="G94" s="15" t="n"/>
      <c r="H94" s="15" t="n"/>
      <c r="I94" s="15" t="n"/>
      <c r="J94" s="15" t="inlineStr">
        <is>
          <t>Không</t>
        </is>
      </c>
      <c r="K94" s="15" t="n"/>
      <c r="L94" s="15" t="n"/>
      <c r="M94" s="15" t="inlineStr">
        <is>
          <t>Mở</t>
        </is>
      </c>
      <c r="N94" s="15" t="n"/>
      <c r="O94" s="15">
        <f>IF(OR(B94="",L94=""),"",B94+IF(L94="P0",0,IF(L94="P1",7,IF(L94="P2",30,90))))</f>
        <v/>
      </c>
      <c r="P94" s="15" t="n"/>
      <c r="Q94" s="15">
        <f>IF(B94="","",IF(P94&lt;&gt;"",P94-B94,TODAY()-B94))</f>
        <v/>
      </c>
      <c r="R94" s="15" t="n"/>
    </row>
    <row r="95">
      <c r="A95" s="15" t="n"/>
      <c r="B95" s="15" t="n"/>
      <c r="C95" s="15" t="n"/>
      <c r="D95" s="15" t="n"/>
      <c r="E95" s="15" t="n"/>
      <c r="F95" s="15" t="n"/>
      <c r="G95" s="15" t="n"/>
      <c r="H95" s="15" t="n"/>
      <c r="I95" s="15" t="n"/>
      <c r="J95" s="15" t="inlineStr">
        <is>
          <t>Không</t>
        </is>
      </c>
      <c r="K95" s="15" t="n"/>
      <c r="L95" s="15" t="n"/>
      <c r="M95" s="15" t="inlineStr">
        <is>
          <t>Mở</t>
        </is>
      </c>
      <c r="N95" s="15" t="n"/>
      <c r="O95" s="15">
        <f>IF(OR(B95="",L95=""),"",B95+IF(L95="P0",0,IF(L95="P1",7,IF(L95="P2",30,90))))</f>
        <v/>
      </c>
      <c r="P95" s="15" t="n"/>
      <c r="Q95" s="15">
        <f>IF(B95="","",IF(P95&lt;&gt;"",P95-B95,TODAY()-B95))</f>
        <v/>
      </c>
      <c r="R95" s="15" t="n"/>
    </row>
    <row r="96">
      <c r="A96" s="15" t="n"/>
      <c r="B96" s="15" t="n"/>
      <c r="C96" s="15" t="n"/>
      <c r="D96" s="15" t="n"/>
      <c r="E96" s="15" t="n"/>
      <c r="F96" s="15" t="n"/>
      <c r="G96" s="15" t="n"/>
      <c r="H96" s="15" t="n"/>
      <c r="I96" s="15" t="n"/>
      <c r="J96" s="15" t="inlineStr">
        <is>
          <t>Không</t>
        </is>
      </c>
      <c r="K96" s="15" t="n"/>
      <c r="L96" s="15" t="n"/>
      <c r="M96" s="15" t="inlineStr">
        <is>
          <t>Mở</t>
        </is>
      </c>
      <c r="N96" s="15" t="n"/>
      <c r="O96" s="15">
        <f>IF(OR(B96="",L96=""),"",B96+IF(L96="P0",0,IF(L96="P1",7,IF(L96="P2",30,90))))</f>
        <v/>
      </c>
      <c r="P96" s="15" t="n"/>
      <c r="Q96" s="15">
        <f>IF(B96="","",IF(P96&lt;&gt;"",P96-B96,TODAY()-B96))</f>
        <v/>
      </c>
      <c r="R96" s="15" t="n"/>
    </row>
    <row r="97">
      <c r="A97" s="15" t="n"/>
      <c r="B97" s="15" t="n"/>
      <c r="C97" s="15" t="n"/>
      <c r="D97" s="15" t="n"/>
      <c r="E97" s="15" t="n"/>
      <c r="F97" s="15" t="n"/>
      <c r="G97" s="15" t="n"/>
      <c r="H97" s="15" t="n"/>
      <c r="I97" s="15" t="n"/>
      <c r="J97" s="15" t="inlineStr">
        <is>
          <t>Không</t>
        </is>
      </c>
      <c r="K97" s="15" t="n"/>
      <c r="L97" s="15" t="n"/>
      <c r="M97" s="15" t="inlineStr">
        <is>
          <t>Mở</t>
        </is>
      </c>
      <c r="N97" s="15" t="n"/>
      <c r="O97" s="15">
        <f>IF(OR(B97="",L97=""),"",B97+IF(L97="P0",0,IF(L97="P1",7,IF(L97="P2",30,90))))</f>
        <v/>
      </c>
      <c r="P97" s="15" t="n"/>
      <c r="Q97" s="15">
        <f>IF(B97="","",IF(P97&lt;&gt;"",P97-B97,TODAY()-B97))</f>
        <v/>
      </c>
      <c r="R97" s="15" t="n"/>
    </row>
    <row r="98">
      <c r="A98" s="15" t="n"/>
      <c r="B98" s="15" t="n"/>
      <c r="C98" s="15" t="n"/>
      <c r="D98" s="15" t="n"/>
      <c r="E98" s="15" t="n"/>
      <c r="F98" s="15" t="n"/>
      <c r="G98" s="15" t="n"/>
      <c r="H98" s="15" t="n"/>
      <c r="I98" s="15" t="n"/>
      <c r="J98" s="15" t="inlineStr">
        <is>
          <t>Không</t>
        </is>
      </c>
      <c r="K98" s="15" t="n"/>
      <c r="L98" s="15" t="n"/>
      <c r="M98" s="15" t="inlineStr">
        <is>
          <t>Mở</t>
        </is>
      </c>
      <c r="N98" s="15" t="n"/>
      <c r="O98" s="15">
        <f>IF(OR(B98="",L98=""),"",B98+IF(L98="P0",0,IF(L98="P1",7,IF(L98="P2",30,90))))</f>
        <v/>
      </c>
      <c r="P98" s="15" t="n"/>
      <c r="Q98" s="15">
        <f>IF(B98="","",IF(P98&lt;&gt;"",P98-B98,TODAY()-B98))</f>
        <v/>
      </c>
      <c r="R98" s="15" t="n"/>
    </row>
    <row r="99">
      <c r="A99" s="15" t="n"/>
      <c r="B99" s="15" t="n"/>
      <c r="C99" s="15" t="n"/>
      <c r="D99" s="15" t="n"/>
      <c r="E99" s="15" t="n"/>
      <c r="F99" s="15" t="n"/>
      <c r="G99" s="15" t="n"/>
      <c r="H99" s="15" t="n"/>
      <c r="I99" s="15" t="n"/>
      <c r="J99" s="15" t="inlineStr">
        <is>
          <t>Không</t>
        </is>
      </c>
      <c r="K99" s="15" t="n"/>
      <c r="L99" s="15" t="n"/>
      <c r="M99" s="15" t="inlineStr">
        <is>
          <t>Mở</t>
        </is>
      </c>
      <c r="N99" s="15" t="n"/>
      <c r="O99" s="15">
        <f>IF(OR(B99="",L99=""),"",B99+IF(L99="P0",0,IF(L99="P1",7,IF(L99="P2",30,90))))</f>
        <v/>
      </c>
      <c r="P99" s="15" t="n"/>
      <c r="Q99" s="15">
        <f>IF(B99="","",IF(P99&lt;&gt;"",P99-B99,TODAY()-B99))</f>
        <v/>
      </c>
      <c r="R99" s="15" t="n"/>
    </row>
    <row r="100">
      <c r="A100" s="15" t="n"/>
      <c r="B100" s="15" t="n"/>
      <c r="C100" s="15" t="n"/>
      <c r="D100" s="15" t="n"/>
      <c r="E100" s="15" t="n"/>
      <c r="F100" s="15" t="n"/>
      <c r="G100" s="15" t="n"/>
      <c r="H100" s="15" t="n"/>
      <c r="I100" s="15" t="n"/>
      <c r="J100" s="15" t="inlineStr">
        <is>
          <t>Không</t>
        </is>
      </c>
      <c r="K100" s="15" t="n"/>
      <c r="L100" s="15" t="n"/>
      <c r="M100" s="15" t="inlineStr">
        <is>
          <t>Mở</t>
        </is>
      </c>
      <c r="N100" s="15" t="n"/>
      <c r="O100" s="15">
        <f>IF(OR(B100="",L100=""),"",B100+IF(L100="P0",0,IF(L100="P1",7,IF(L100="P2",30,90))))</f>
        <v/>
      </c>
      <c r="P100" s="15" t="n"/>
      <c r="Q100" s="15">
        <f>IF(B100="","",IF(P100&lt;&gt;"",P100-B100,TODAY()-B100))</f>
        <v/>
      </c>
      <c r="R100" s="15" t="n"/>
    </row>
    <row r="101">
      <c r="A101" s="15" t="n"/>
      <c r="B101" s="15" t="n"/>
      <c r="C101" s="15" t="n"/>
      <c r="D101" s="15" t="n"/>
      <c r="E101" s="15" t="n"/>
      <c r="F101" s="15" t="n"/>
      <c r="G101" s="15" t="n"/>
      <c r="H101" s="15" t="n"/>
      <c r="I101" s="15" t="n"/>
      <c r="J101" s="15" t="inlineStr">
        <is>
          <t>Không</t>
        </is>
      </c>
      <c r="K101" s="15" t="n"/>
      <c r="L101" s="15" t="n"/>
      <c r="M101" s="15" t="inlineStr">
        <is>
          <t>Mở</t>
        </is>
      </c>
      <c r="N101" s="15" t="n"/>
      <c r="O101" s="15">
        <f>IF(OR(B101="",L101=""),"",B101+IF(L101="P0",0,IF(L101="P1",7,IF(L101="P2",30,90))))</f>
        <v/>
      </c>
      <c r="P101" s="15" t="n"/>
      <c r="Q101" s="15">
        <f>IF(B101="","",IF(P101&lt;&gt;"",P101-B101,TODAY()-B101))</f>
        <v/>
      </c>
      <c r="R101" s="15" t="n"/>
    </row>
    <row r="102">
      <c r="A102" s="15" t="n"/>
      <c r="B102" s="15" t="n"/>
      <c r="C102" s="15" t="n"/>
      <c r="D102" s="15" t="n"/>
      <c r="E102" s="15" t="n"/>
      <c r="F102" s="15" t="n"/>
      <c r="G102" s="15" t="n"/>
      <c r="H102" s="15" t="n"/>
      <c r="I102" s="15" t="n"/>
      <c r="J102" s="15" t="inlineStr">
        <is>
          <t>Không</t>
        </is>
      </c>
      <c r="K102" s="15" t="n"/>
      <c r="L102" s="15" t="n"/>
      <c r="M102" s="15" t="inlineStr">
        <is>
          <t>Mở</t>
        </is>
      </c>
      <c r="N102" s="15" t="n"/>
      <c r="O102" s="15">
        <f>IF(OR(B102="",L102=""),"",B102+IF(L102="P0",0,IF(L102="P1",7,IF(L102="P2",30,90))))</f>
        <v/>
      </c>
      <c r="P102" s="15" t="n"/>
      <c r="Q102" s="15">
        <f>IF(B102="","",IF(P102&lt;&gt;"",P102-B102,TODAY()-B102))</f>
        <v/>
      </c>
      <c r="R102" s="15" t="n"/>
    </row>
    <row r="103">
      <c r="A103" s="15" t="n"/>
      <c r="B103" s="15" t="n"/>
      <c r="C103" s="15" t="n"/>
      <c r="D103" s="15" t="n"/>
      <c r="E103" s="15" t="n"/>
      <c r="F103" s="15" t="n"/>
      <c r="G103" s="15" t="n"/>
      <c r="H103" s="15" t="n"/>
      <c r="I103" s="15" t="n"/>
      <c r="J103" s="15" t="inlineStr">
        <is>
          <t>Không</t>
        </is>
      </c>
      <c r="K103" s="15" t="n"/>
      <c r="L103" s="15" t="n"/>
      <c r="M103" s="15" t="inlineStr">
        <is>
          <t>Mở</t>
        </is>
      </c>
      <c r="N103" s="15" t="n"/>
      <c r="O103" s="15">
        <f>IF(OR(B103="",L103=""),"",B103+IF(L103="P0",0,IF(L103="P1",7,IF(L103="P2",30,90))))</f>
        <v/>
      </c>
      <c r="P103" s="15" t="n"/>
      <c r="Q103" s="15">
        <f>IF(B103="","",IF(P103&lt;&gt;"",P103-B103,TODAY()-B103))</f>
        <v/>
      </c>
      <c r="R103" s="15" t="n"/>
    </row>
    <row r="104">
      <c r="A104" s="15" t="n"/>
      <c r="B104" s="15" t="n"/>
      <c r="C104" s="15" t="n"/>
      <c r="D104" s="15" t="n"/>
      <c r="E104" s="15" t="n"/>
      <c r="F104" s="15" t="n"/>
      <c r="G104" s="15" t="n"/>
      <c r="H104" s="15" t="n"/>
      <c r="I104" s="15" t="n"/>
      <c r="J104" s="15" t="inlineStr">
        <is>
          <t>Không</t>
        </is>
      </c>
      <c r="K104" s="15" t="n"/>
      <c r="L104" s="15" t="n"/>
      <c r="M104" s="15" t="inlineStr">
        <is>
          <t>Mở</t>
        </is>
      </c>
      <c r="N104" s="15" t="n"/>
      <c r="O104" s="15">
        <f>IF(OR(B104="",L104=""),"",B104+IF(L104="P0",0,IF(L104="P1",7,IF(L104="P2",30,90))))</f>
        <v/>
      </c>
      <c r="P104" s="15" t="n"/>
      <c r="Q104" s="15">
        <f>IF(B104="","",IF(P104&lt;&gt;"",P104-B104,TODAY()-B104))</f>
        <v/>
      </c>
      <c r="R104" s="15" t="n"/>
    </row>
    <row r="105">
      <c r="A105" s="15" t="n"/>
      <c r="B105" s="15" t="n"/>
      <c r="C105" s="15" t="n"/>
      <c r="D105" s="15" t="n"/>
      <c r="E105" s="15" t="n"/>
      <c r="F105" s="15" t="n"/>
      <c r="G105" s="15" t="n"/>
      <c r="H105" s="15" t="n"/>
      <c r="I105" s="15" t="n"/>
      <c r="J105" s="15" t="inlineStr">
        <is>
          <t>Không</t>
        </is>
      </c>
      <c r="K105" s="15" t="n"/>
      <c r="L105" s="15" t="n"/>
      <c r="M105" s="15" t="inlineStr">
        <is>
          <t>Mở</t>
        </is>
      </c>
      <c r="N105" s="15" t="n"/>
      <c r="O105" s="15">
        <f>IF(OR(B105="",L105=""),"",B105+IF(L105="P0",0,IF(L105="P1",7,IF(L105="P2",30,90))))</f>
        <v/>
      </c>
      <c r="P105" s="15" t="n"/>
      <c r="Q105" s="15">
        <f>IF(B105="","",IF(P105&lt;&gt;"",P105-B105,TODAY()-B105))</f>
        <v/>
      </c>
      <c r="R105" s="15" t="n"/>
    </row>
    <row r="106">
      <c r="A106" s="15" t="n"/>
      <c r="B106" s="15" t="n"/>
      <c r="C106" s="15" t="n"/>
      <c r="D106" s="15" t="n"/>
      <c r="E106" s="15" t="n"/>
      <c r="F106" s="15" t="n"/>
      <c r="G106" s="15" t="n"/>
      <c r="H106" s="15" t="n"/>
      <c r="I106" s="15" t="n"/>
      <c r="J106" s="15" t="inlineStr">
        <is>
          <t>Không</t>
        </is>
      </c>
      <c r="K106" s="15" t="n"/>
      <c r="L106" s="15" t="n"/>
      <c r="M106" s="15" t="inlineStr">
        <is>
          <t>Mở</t>
        </is>
      </c>
      <c r="N106" s="15" t="n"/>
      <c r="O106" s="15">
        <f>IF(OR(B106="",L106=""),"",B106+IF(L106="P0",0,IF(L106="P1",7,IF(L106="P2",30,90))))</f>
        <v/>
      </c>
      <c r="P106" s="15" t="n"/>
      <c r="Q106" s="15">
        <f>IF(B106="","",IF(P106&lt;&gt;"",P106-B106,TODAY()-B106))</f>
        <v/>
      </c>
      <c r="R106" s="15" t="n"/>
    </row>
    <row r="107">
      <c r="A107" s="15" t="n"/>
      <c r="B107" s="15" t="n"/>
      <c r="C107" s="15" t="n"/>
      <c r="D107" s="15" t="n"/>
      <c r="E107" s="15" t="n"/>
      <c r="F107" s="15" t="n"/>
      <c r="G107" s="15" t="n"/>
      <c r="H107" s="15" t="n"/>
      <c r="I107" s="15" t="n"/>
      <c r="J107" s="15" t="inlineStr">
        <is>
          <t>Không</t>
        </is>
      </c>
      <c r="K107" s="15" t="n"/>
      <c r="L107" s="15" t="n"/>
      <c r="M107" s="15" t="inlineStr">
        <is>
          <t>Mở</t>
        </is>
      </c>
      <c r="N107" s="15" t="n"/>
      <c r="O107" s="15">
        <f>IF(OR(B107="",L107=""),"",B107+IF(L107="P0",0,IF(L107="P1",7,IF(L107="P2",30,90))))</f>
        <v/>
      </c>
      <c r="P107" s="15" t="n"/>
      <c r="Q107" s="15">
        <f>IF(B107="","",IF(P107&lt;&gt;"",P107-B107,TODAY()-B107))</f>
        <v/>
      </c>
      <c r="R107" s="15" t="n"/>
    </row>
    <row r="108">
      <c r="A108" s="15" t="n"/>
      <c r="B108" s="15" t="n"/>
      <c r="C108" s="15" t="n"/>
      <c r="D108" s="15" t="n"/>
      <c r="E108" s="15" t="n"/>
      <c r="F108" s="15" t="n"/>
      <c r="G108" s="15" t="n"/>
      <c r="H108" s="15" t="n"/>
      <c r="I108" s="15" t="n"/>
      <c r="J108" s="15" t="inlineStr">
        <is>
          <t>Không</t>
        </is>
      </c>
      <c r="K108" s="15" t="n"/>
      <c r="L108" s="15" t="n"/>
      <c r="M108" s="15" t="inlineStr">
        <is>
          <t>Mở</t>
        </is>
      </c>
      <c r="N108" s="15" t="n"/>
      <c r="O108" s="15">
        <f>IF(OR(B108="",L108=""),"",B108+IF(L108="P0",0,IF(L108="P1",7,IF(L108="P2",30,90))))</f>
        <v/>
      </c>
      <c r="P108" s="15" t="n"/>
      <c r="Q108" s="15">
        <f>IF(B108="","",IF(P108&lt;&gt;"",P108-B108,TODAY()-B108))</f>
        <v/>
      </c>
      <c r="R108" s="15" t="n"/>
    </row>
    <row r="109">
      <c r="A109" s="15" t="n"/>
      <c r="B109" s="15" t="n"/>
      <c r="C109" s="15" t="n"/>
      <c r="D109" s="15" t="n"/>
      <c r="E109" s="15" t="n"/>
      <c r="F109" s="15" t="n"/>
      <c r="G109" s="15" t="n"/>
      <c r="H109" s="15" t="n"/>
      <c r="I109" s="15" t="n"/>
      <c r="J109" s="15" t="inlineStr">
        <is>
          <t>Không</t>
        </is>
      </c>
      <c r="K109" s="15" t="n"/>
      <c r="L109" s="15" t="n"/>
      <c r="M109" s="15" t="inlineStr">
        <is>
          <t>Mở</t>
        </is>
      </c>
      <c r="N109" s="15" t="n"/>
      <c r="O109" s="15">
        <f>IF(OR(B109="",L109=""),"",B109+IF(L109="P0",0,IF(L109="P1",7,IF(L109="P2",30,90))))</f>
        <v/>
      </c>
      <c r="P109" s="15" t="n"/>
      <c r="Q109" s="15">
        <f>IF(B109="","",IF(P109&lt;&gt;"",P109-B109,TODAY()-B109))</f>
        <v/>
      </c>
      <c r="R109" s="15" t="n"/>
    </row>
    <row r="110">
      <c r="A110" s="15" t="n"/>
      <c r="B110" s="15" t="n"/>
      <c r="C110" s="15" t="n"/>
      <c r="D110" s="15" t="n"/>
      <c r="E110" s="15" t="n"/>
      <c r="F110" s="15" t="n"/>
      <c r="G110" s="15" t="n"/>
      <c r="H110" s="15" t="n"/>
      <c r="I110" s="15" t="n"/>
      <c r="J110" s="15" t="inlineStr">
        <is>
          <t>Không</t>
        </is>
      </c>
      <c r="K110" s="15" t="n"/>
      <c r="L110" s="15" t="n"/>
      <c r="M110" s="15" t="inlineStr">
        <is>
          <t>Mở</t>
        </is>
      </c>
      <c r="N110" s="15" t="n"/>
      <c r="O110" s="15">
        <f>IF(OR(B110="",L110=""),"",B110+IF(L110="P0",0,IF(L110="P1",7,IF(L110="P2",30,90))))</f>
        <v/>
      </c>
      <c r="P110" s="15" t="n"/>
      <c r="Q110" s="15">
        <f>IF(B110="","",IF(P110&lt;&gt;"",P110-B110,TODAY()-B110))</f>
        <v/>
      </c>
      <c r="R110" s="15" t="n"/>
    </row>
    <row r="111">
      <c r="A111" s="15" t="n"/>
      <c r="B111" s="15" t="n"/>
      <c r="C111" s="15" t="n"/>
      <c r="D111" s="15" t="n"/>
      <c r="E111" s="15" t="n"/>
      <c r="F111" s="15" t="n"/>
      <c r="G111" s="15" t="n"/>
      <c r="H111" s="15" t="n"/>
      <c r="I111" s="15" t="n"/>
      <c r="J111" s="15" t="inlineStr">
        <is>
          <t>Không</t>
        </is>
      </c>
      <c r="K111" s="15" t="n"/>
      <c r="L111" s="15" t="n"/>
      <c r="M111" s="15" t="inlineStr">
        <is>
          <t>Mở</t>
        </is>
      </c>
      <c r="N111" s="15" t="n"/>
      <c r="O111" s="15">
        <f>IF(OR(B111="",L111=""),"",B111+IF(L111="P0",0,IF(L111="P1",7,IF(L111="P2",30,90))))</f>
        <v/>
      </c>
      <c r="P111" s="15" t="n"/>
      <c r="Q111" s="15">
        <f>IF(B111="","",IF(P111&lt;&gt;"",P111-B111,TODAY()-B111))</f>
        <v/>
      </c>
      <c r="R111" s="15" t="n"/>
    </row>
    <row r="112">
      <c r="A112" s="15" t="n"/>
      <c r="B112" s="15" t="n"/>
      <c r="C112" s="15" t="n"/>
      <c r="D112" s="15" t="n"/>
      <c r="E112" s="15" t="n"/>
      <c r="F112" s="15" t="n"/>
      <c r="G112" s="15" t="n"/>
      <c r="H112" s="15" t="n"/>
      <c r="I112" s="15" t="n"/>
      <c r="J112" s="15" t="inlineStr">
        <is>
          <t>Không</t>
        </is>
      </c>
      <c r="K112" s="15" t="n"/>
      <c r="L112" s="15" t="n"/>
      <c r="M112" s="15" t="inlineStr">
        <is>
          <t>Mở</t>
        </is>
      </c>
      <c r="N112" s="15" t="n"/>
      <c r="O112" s="15">
        <f>IF(OR(B112="",L112=""),"",B112+IF(L112="P0",0,IF(L112="P1",7,IF(L112="P2",30,90))))</f>
        <v/>
      </c>
      <c r="P112" s="15" t="n"/>
      <c r="Q112" s="15">
        <f>IF(B112="","",IF(P112&lt;&gt;"",P112-B112,TODAY()-B112))</f>
        <v/>
      </c>
      <c r="R112" s="15" t="n"/>
    </row>
    <row r="113">
      <c r="A113" s="15" t="n"/>
      <c r="B113" s="15" t="n"/>
      <c r="C113" s="15" t="n"/>
      <c r="D113" s="15" t="n"/>
      <c r="E113" s="15" t="n"/>
      <c r="F113" s="15" t="n"/>
      <c r="G113" s="15" t="n"/>
      <c r="H113" s="15" t="n"/>
      <c r="I113" s="15" t="n"/>
      <c r="J113" s="15" t="inlineStr">
        <is>
          <t>Không</t>
        </is>
      </c>
      <c r="K113" s="15" t="n"/>
      <c r="L113" s="15" t="n"/>
      <c r="M113" s="15" t="inlineStr">
        <is>
          <t>Mở</t>
        </is>
      </c>
      <c r="N113" s="15" t="n"/>
      <c r="O113" s="15">
        <f>IF(OR(B113="",L113=""),"",B113+IF(L113="P0",0,IF(L113="P1",7,IF(L113="P2",30,90))))</f>
        <v/>
      </c>
      <c r="P113" s="15" t="n"/>
      <c r="Q113" s="15">
        <f>IF(B113="","",IF(P113&lt;&gt;"",P113-B113,TODAY()-B113))</f>
        <v/>
      </c>
      <c r="R113" s="15" t="n"/>
    </row>
    <row r="114">
      <c r="A114" s="15" t="n"/>
      <c r="B114" s="15" t="n"/>
      <c r="C114" s="15" t="n"/>
      <c r="D114" s="15" t="n"/>
      <c r="E114" s="15" t="n"/>
      <c r="F114" s="15" t="n"/>
      <c r="G114" s="15" t="n"/>
      <c r="H114" s="15" t="n"/>
      <c r="I114" s="15" t="n"/>
      <c r="J114" s="15" t="inlineStr">
        <is>
          <t>Không</t>
        </is>
      </c>
      <c r="K114" s="15" t="n"/>
      <c r="L114" s="15" t="n"/>
      <c r="M114" s="15" t="inlineStr">
        <is>
          <t>Mở</t>
        </is>
      </c>
      <c r="N114" s="15" t="n"/>
      <c r="O114" s="15">
        <f>IF(OR(B114="",L114=""),"",B114+IF(L114="P0",0,IF(L114="P1",7,IF(L114="P2",30,90))))</f>
        <v/>
      </c>
      <c r="P114" s="15" t="n"/>
      <c r="Q114" s="15">
        <f>IF(B114="","",IF(P114&lt;&gt;"",P114-B114,TODAY()-B114))</f>
        <v/>
      </c>
      <c r="R114" s="15" t="n"/>
    </row>
    <row r="115">
      <c r="A115" s="15" t="n"/>
      <c r="B115" s="15" t="n"/>
      <c r="C115" s="15" t="n"/>
      <c r="D115" s="15" t="n"/>
      <c r="E115" s="15" t="n"/>
      <c r="F115" s="15" t="n"/>
      <c r="G115" s="15" t="n"/>
      <c r="H115" s="15" t="n"/>
      <c r="I115" s="15" t="n"/>
      <c r="J115" s="15" t="inlineStr">
        <is>
          <t>Không</t>
        </is>
      </c>
      <c r="K115" s="15" t="n"/>
      <c r="L115" s="15" t="n"/>
      <c r="M115" s="15" t="inlineStr">
        <is>
          <t>Mở</t>
        </is>
      </c>
      <c r="N115" s="15" t="n"/>
      <c r="O115" s="15">
        <f>IF(OR(B115="",L115=""),"",B115+IF(L115="P0",0,IF(L115="P1",7,IF(L115="P2",30,90))))</f>
        <v/>
      </c>
      <c r="P115" s="15" t="n"/>
      <c r="Q115" s="15">
        <f>IF(B115="","",IF(P115&lt;&gt;"",P115-B115,TODAY()-B115))</f>
        <v/>
      </c>
      <c r="R115" s="15" t="n"/>
    </row>
    <row r="116">
      <c r="A116" s="15" t="n"/>
      <c r="B116" s="15" t="n"/>
      <c r="C116" s="15" t="n"/>
      <c r="D116" s="15" t="n"/>
      <c r="E116" s="15" t="n"/>
      <c r="F116" s="15" t="n"/>
      <c r="G116" s="15" t="n"/>
      <c r="H116" s="15" t="n"/>
      <c r="I116" s="15" t="n"/>
      <c r="J116" s="15" t="inlineStr">
        <is>
          <t>Không</t>
        </is>
      </c>
      <c r="K116" s="15" t="n"/>
      <c r="L116" s="15" t="n"/>
      <c r="M116" s="15" t="inlineStr">
        <is>
          <t>Mở</t>
        </is>
      </c>
      <c r="N116" s="15" t="n"/>
      <c r="O116" s="15">
        <f>IF(OR(B116="",L116=""),"",B116+IF(L116="P0",0,IF(L116="P1",7,IF(L116="P2",30,90))))</f>
        <v/>
      </c>
      <c r="P116" s="15" t="n"/>
      <c r="Q116" s="15">
        <f>IF(B116="","",IF(P116&lt;&gt;"",P116-B116,TODAY()-B116))</f>
        <v/>
      </c>
      <c r="R116" s="15" t="n"/>
    </row>
    <row r="117">
      <c r="A117" s="15" t="n"/>
      <c r="B117" s="15" t="n"/>
      <c r="C117" s="15" t="n"/>
      <c r="D117" s="15" t="n"/>
      <c r="E117" s="15" t="n"/>
      <c r="F117" s="15" t="n"/>
      <c r="G117" s="15" t="n"/>
      <c r="H117" s="15" t="n"/>
      <c r="I117" s="15" t="n"/>
      <c r="J117" s="15" t="inlineStr">
        <is>
          <t>Không</t>
        </is>
      </c>
      <c r="K117" s="15" t="n"/>
      <c r="L117" s="15" t="n"/>
      <c r="M117" s="15" t="inlineStr">
        <is>
          <t>Mở</t>
        </is>
      </c>
      <c r="N117" s="15" t="n"/>
      <c r="O117" s="15">
        <f>IF(OR(B117="",L117=""),"",B117+IF(L117="P0",0,IF(L117="P1",7,IF(L117="P2",30,90))))</f>
        <v/>
      </c>
      <c r="P117" s="15" t="n"/>
      <c r="Q117" s="15">
        <f>IF(B117="","",IF(P117&lt;&gt;"",P117-B117,TODAY()-B117))</f>
        <v/>
      </c>
      <c r="R117" s="15" t="n"/>
    </row>
    <row r="118">
      <c r="A118" s="15" t="n"/>
      <c r="B118" s="15" t="n"/>
      <c r="C118" s="15" t="n"/>
      <c r="D118" s="15" t="n"/>
      <c r="E118" s="15" t="n"/>
      <c r="F118" s="15" t="n"/>
      <c r="G118" s="15" t="n"/>
      <c r="H118" s="15" t="n"/>
      <c r="I118" s="15" t="n"/>
      <c r="J118" s="15" t="inlineStr">
        <is>
          <t>Không</t>
        </is>
      </c>
      <c r="K118" s="15" t="n"/>
      <c r="L118" s="15" t="n"/>
      <c r="M118" s="15" t="inlineStr">
        <is>
          <t>Mở</t>
        </is>
      </c>
      <c r="N118" s="15" t="n"/>
      <c r="O118" s="15">
        <f>IF(OR(B118="",L118=""),"",B118+IF(L118="P0",0,IF(L118="P1",7,IF(L118="P2",30,90))))</f>
        <v/>
      </c>
      <c r="P118" s="15" t="n"/>
      <c r="Q118" s="15">
        <f>IF(B118="","",IF(P118&lt;&gt;"",P118-B118,TODAY()-B118))</f>
        <v/>
      </c>
      <c r="R118" s="15" t="n"/>
    </row>
    <row r="119">
      <c r="A119" s="15" t="n"/>
      <c r="B119" s="15" t="n"/>
      <c r="C119" s="15" t="n"/>
      <c r="D119" s="15" t="n"/>
      <c r="E119" s="15" t="n"/>
      <c r="F119" s="15" t="n"/>
      <c r="G119" s="15" t="n"/>
      <c r="H119" s="15" t="n"/>
      <c r="I119" s="15" t="n"/>
      <c r="J119" s="15" t="inlineStr">
        <is>
          <t>Không</t>
        </is>
      </c>
      <c r="K119" s="15" t="n"/>
      <c r="L119" s="15" t="n"/>
      <c r="M119" s="15" t="inlineStr">
        <is>
          <t>Mở</t>
        </is>
      </c>
      <c r="N119" s="15" t="n"/>
      <c r="O119" s="15">
        <f>IF(OR(B119="",L119=""),"",B119+IF(L119="P0",0,IF(L119="P1",7,IF(L119="P2",30,90))))</f>
        <v/>
      </c>
      <c r="P119" s="15" t="n"/>
      <c r="Q119" s="15">
        <f>IF(B119="","",IF(P119&lt;&gt;"",P119-B119,TODAY()-B119))</f>
        <v/>
      </c>
      <c r="R119" s="15" t="n"/>
    </row>
    <row r="120">
      <c r="A120" s="15" t="n"/>
      <c r="B120" s="15" t="n"/>
      <c r="C120" s="15" t="n"/>
      <c r="D120" s="15" t="n"/>
      <c r="E120" s="15" t="n"/>
      <c r="F120" s="15" t="n"/>
      <c r="G120" s="15" t="n"/>
      <c r="H120" s="15" t="n"/>
      <c r="I120" s="15" t="n"/>
      <c r="J120" s="15" t="inlineStr">
        <is>
          <t>Không</t>
        </is>
      </c>
      <c r="K120" s="15" t="n"/>
      <c r="L120" s="15" t="n"/>
      <c r="M120" s="15" t="inlineStr">
        <is>
          <t>Mở</t>
        </is>
      </c>
      <c r="N120" s="15" t="n"/>
      <c r="O120" s="15">
        <f>IF(OR(B120="",L120=""),"",B120+IF(L120="P0",0,IF(L120="P1",7,IF(L120="P2",30,90))))</f>
        <v/>
      </c>
      <c r="P120" s="15" t="n"/>
      <c r="Q120" s="15">
        <f>IF(B120="","",IF(P120&lt;&gt;"",P120-B120,TODAY()-B120))</f>
        <v/>
      </c>
      <c r="R120" s="15" t="n"/>
    </row>
    <row r="121">
      <c r="A121" s="15" t="n"/>
      <c r="B121" s="15" t="n"/>
      <c r="C121" s="15" t="n"/>
      <c r="D121" s="15" t="n"/>
      <c r="E121" s="15" t="n"/>
      <c r="F121" s="15" t="n"/>
      <c r="G121" s="15" t="n"/>
      <c r="H121" s="15" t="n"/>
      <c r="I121" s="15" t="n"/>
      <c r="J121" s="15" t="inlineStr">
        <is>
          <t>Không</t>
        </is>
      </c>
      <c r="K121" s="15" t="n"/>
      <c r="L121" s="15" t="n"/>
      <c r="M121" s="15" t="inlineStr">
        <is>
          <t>Mở</t>
        </is>
      </c>
      <c r="N121" s="15" t="n"/>
      <c r="O121" s="15">
        <f>IF(OR(B121="",L121=""),"",B121+IF(L121="P0",0,IF(L121="P1",7,IF(L121="P2",30,90))))</f>
        <v/>
      </c>
      <c r="P121" s="15" t="n"/>
      <c r="Q121" s="15">
        <f>IF(B121="","",IF(P121&lt;&gt;"",P121-B121,TODAY()-B121))</f>
        <v/>
      </c>
      <c r="R121" s="15" t="n"/>
    </row>
    <row r="122">
      <c r="A122" s="15" t="n"/>
      <c r="B122" s="15" t="n"/>
      <c r="C122" s="15" t="n"/>
      <c r="D122" s="15" t="n"/>
      <c r="E122" s="15" t="n"/>
      <c r="F122" s="15" t="n"/>
      <c r="G122" s="15" t="n"/>
      <c r="H122" s="15" t="n"/>
      <c r="I122" s="15" t="n"/>
      <c r="J122" s="15" t="inlineStr">
        <is>
          <t>Không</t>
        </is>
      </c>
      <c r="K122" s="15" t="n"/>
      <c r="L122" s="15" t="n"/>
      <c r="M122" s="15" t="inlineStr">
        <is>
          <t>Mở</t>
        </is>
      </c>
      <c r="N122" s="15" t="n"/>
      <c r="O122" s="15">
        <f>IF(OR(B122="",L122=""),"",B122+IF(L122="P0",0,IF(L122="P1",7,IF(L122="P2",30,90))))</f>
        <v/>
      </c>
      <c r="P122" s="15" t="n"/>
      <c r="Q122" s="15">
        <f>IF(B122="","",IF(P122&lt;&gt;"",P122-B122,TODAY()-B122))</f>
        <v/>
      </c>
      <c r="R122" s="15" t="n"/>
    </row>
    <row r="123">
      <c r="A123" s="15" t="n"/>
      <c r="B123" s="15" t="n"/>
      <c r="C123" s="15" t="n"/>
      <c r="D123" s="15" t="n"/>
      <c r="E123" s="15" t="n"/>
      <c r="F123" s="15" t="n"/>
      <c r="G123" s="15" t="n"/>
      <c r="H123" s="15" t="n"/>
      <c r="I123" s="15" t="n"/>
      <c r="J123" s="15" t="inlineStr">
        <is>
          <t>Không</t>
        </is>
      </c>
      <c r="K123" s="15" t="n"/>
      <c r="L123" s="15" t="n"/>
      <c r="M123" s="15" t="inlineStr">
        <is>
          <t>Mở</t>
        </is>
      </c>
      <c r="N123" s="15" t="n"/>
      <c r="O123" s="15">
        <f>IF(OR(B123="",L123=""),"",B123+IF(L123="P0",0,IF(L123="P1",7,IF(L123="P2",30,90))))</f>
        <v/>
      </c>
      <c r="P123" s="15" t="n"/>
      <c r="Q123" s="15">
        <f>IF(B123="","",IF(P123&lt;&gt;"",P123-B123,TODAY()-B123))</f>
        <v/>
      </c>
      <c r="R123" s="15" t="n"/>
    </row>
    <row r="124">
      <c r="A124" s="15" t="n"/>
      <c r="B124" s="15" t="n"/>
      <c r="C124" s="15" t="n"/>
      <c r="D124" s="15" t="n"/>
      <c r="E124" s="15" t="n"/>
      <c r="F124" s="15" t="n"/>
      <c r="G124" s="15" t="n"/>
      <c r="H124" s="15" t="n"/>
      <c r="I124" s="15" t="n"/>
      <c r="J124" s="15" t="inlineStr">
        <is>
          <t>Không</t>
        </is>
      </c>
      <c r="K124" s="15" t="n"/>
      <c r="L124" s="15" t="n"/>
      <c r="M124" s="15" t="inlineStr">
        <is>
          <t>Mở</t>
        </is>
      </c>
      <c r="N124" s="15" t="n"/>
      <c r="O124" s="15">
        <f>IF(OR(B124="",L124=""),"",B124+IF(L124="P0",0,IF(L124="P1",7,IF(L124="P2",30,90))))</f>
        <v/>
      </c>
      <c r="P124" s="15" t="n"/>
      <c r="Q124" s="15">
        <f>IF(B124="","",IF(P124&lt;&gt;"",P124-B124,TODAY()-B124))</f>
        <v/>
      </c>
      <c r="R124" s="15" t="n"/>
    </row>
    <row r="125">
      <c r="A125" s="15" t="n"/>
      <c r="B125" s="15" t="n"/>
      <c r="C125" s="15" t="n"/>
      <c r="D125" s="15" t="n"/>
      <c r="E125" s="15" t="n"/>
      <c r="F125" s="15" t="n"/>
      <c r="G125" s="15" t="n"/>
      <c r="H125" s="15" t="n"/>
      <c r="I125" s="15" t="n"/>
      <c r="J125" s="15" t="inlineStr">
        <is>
          <t>Không</t>
        </is>
      </c>
      <c r="K125" s="15" t="n"/>
      <c r="L125" s="15" t="n"/>
      <c r="M125" s="15" t="inlineStr">
        <is>
          <t>Mở</t>
        </is>
      </c>
      <c r="N125" s="15" t="n"/>
      <c r="O125" s="15">
        <f>IF(OR(B125="",L125=""),"",B125+IF(L125="P0",0,IF(L125="P1",7,IF(L125="P2",30,90))))</f>
        <v/>
      </c>
      <c r="P125" s="15" t="n"/>
      <c r="Q125" s="15">
        <f>IF(B125="","",IF(P125&lt;&gt;"",P125-B125,TODAY()-B125))</f>
        <v/>
      </c>
      <c r="R125" s="15" t="n"/>
    </row>
    <row r="126">
      <c r="A126" s="15" t="n"/>
      <c r="B126" s="15" t="n"/>
      <c r="C126" s="15" t="n"/>
      <c r="D126" s="15" t="n"/>
      <c r="E126" s="15" t="n"/>
      <c r="F126" s="15" t="n"/>
      <c r="G126" s="15" t="n"/>
      <c r="H126" s="15" t="n"/>
      <c r="I126" s="15" t="n"/>
      <c r="J126" s="15" t="inlineStr">
        <is>
          <t>Không</t>
        </is>
      </c>
      <c r="K126" s="15" t="n"/>
      <c r="L126" s="15" t="n"/>
      <c r="M126" s="15" t="inlineStr">
        <is>
          <t>Mở</t>
        </is>
      </c>
      <c r="N126" s="15" t="n"/>
      <c r="O126" s="15">
        <f>IF(OR(B126="",L126=""),"",B126+IF(L126="P0",0,IF(L126="P1",7,IF(L126="P2",30,90))))</f>
        <v/>
      </c>
      <c r="P126" s="15" t="n"/>
      <c r="Q126" s="15">
        <f>IF(B126="","",IF(P126&lt;&gt;"",P126-B126,TODAY()-B126))</f>
        <v/>
      </c>
      <c r="R126" s="15" t="n"/>
    </row>
    <row r="127">
      <c r="A127" s="15" t="n"/>
      <c r="B127" s="15" t="n"/>
      <c r="C127" s="15" t="n"/>
      <c r="D127" s="15" t="n"/>
      <c r="E127" s="15" t="n"/>
      <c r="F127" s="15" t="n"/>
      <c r="G127" s="15" t="n"/>
      <c r="H127" s="15" t="n"/>
      <c r="I127" s="15" t="n"/>
      <c r="J127" s="15" t="inlineStr">
        <is>
          <t>Không</t>
        </is>
      </c>
      <c r="K127" s="15" t="n"/>
      <c r="L127" s="15" t="n"/>
      <c r="M127" s="15" t="inlineStr">
        <is>
          <t>Mở</t>
        </is>
      </c>
      <c r="N127" s="15" t="n"/>
      <c r="O127" s="15">
        <f>IF(OR(B127="",L127=""),"",B127+IF(L127="P0",0,IF(L127="P1",7,IF(L127="P2",30,90))))</f>
        <v/>
      </c>
      <c r="P127" s="15" t="n"/>
      <c r="Q127" s="15">
        <f>IF(B127="","",IF(P127&lt;&gt;"",P127-B127,TODAY()-B127))</f>
        <v/>
      </c>
      <c r="R127" s="15" t="n"/>
    </row>
    <row r="128">
      <c r="A128" s="15" t="n"/>
      <c r="B128" s="15" t="n"/>
      <c r="C128" s="15" t="n"/>
      <c r="D128" s="15" t="n"/>
      <c r="E128" s="15" t="n"/>
      <c r="F128" s="15" t="n"/>
      <c r="G128" s="15" t="n"/>
      <c r="H128" s="15" t="n"/>
      <c r="I128" s="15" t="n"/>
      <c r="J128" s="15" t="inlineStr">
        <is>
          <t>Không</t>
        </is>
      </c>
      <c r="K128" s="15" t="n"/>
      <c r="L128" s="15" t="n"/>
      <c r="M128" s="15" t="inlineStr">
        <is>
          <t>Mở</t>
        </is>
      </c>
      <c r="N128" s="15" t="n"/>
      <c r="O128" s="15">
        <f>IF(OR(B128="",L128=""),"",B128+IF(L128="P0",0,IF(L128="P1",7,IF(L128="P2",30,90))))</f>
        <v/>
      </c>
      <c r="P128" s="15" t="n"/>
      <c r="Q128" s="15">
        <f>IF(B128="","",IF(P128&lt;&gt;"",P128-B128,TODAY()-B128))</f>
        <v/>
      </c>
      <c r="R128" s="15" t="n"/>
    </row>
    <row r="129">
      <c r="A129" s="15" t="n"/>
      <c r="B129" s="15" t="n"/>
      <c r="C129" s="15" t="n"/>
      <c r="D129" s="15" t="n"/>
      <c r="E129" s="15" t="n"/>
      <c r="F129" s="15" t="n"/>
      <c r="G129" s="15" t="n"/>
      <c r="H129" s="15" t="n"/>
      <c r="I129" s="15" t="n"/>
      <c r="J129" s="15" t="inlineStr">
        <is>
          <t>Không</t>
        </is>
      </c>
      <c r="K129" s="15" t="n"/>
      <c r="L129" s="15" t="n"/>
      <c r="M129" s="15" t="inlineStr">
        <is>
          <t>Mở</t>
        </is>
      </c>
      <c r="N129" s="15" t="n"/>
      <c r="O129" s="15">
        <f>IF(OR(B129="",L129=""),"",B129+IF(L129="P0",0,IF(L129="P1",7,IF(L129="P2",30,90))))</f>
        <v/>
      </c>
      <c r="P129" s="15" t="n"/>
      <c r="Q129" s="15">
        <f>IF(B129="","",IF(P129&lt;&gt;"",P129-B129,TODAY()-B129))</f>
        <v/>
      </c>
      <c r="R129" s="15" t="n"/>
    </row>
    <row r="130">
      <c r="A130" s="15" t="n"/>
      <c r="B130" s="15" t="n"/>
      <c r="C130" s="15" t="n"/>
      <c r="D130" s="15" t="n"/>
      <c r="E130" s="15" t="n"/>
      <c r="F130" s="15" t="n"/>
      <c r="G130" s="15" t="n"/>
      <c r="H130" s="15" t="n"/>
      <c r="I130" s="15" t="n"/>
      <c r="J130" s="15" t="inlineStr">
        <is>
          <t>Không</t>
        </is>
      </c>
      <c r="K130" s="15" t="n"/>
      <c r="L130" s="15" t="n"/>
      <c r="M130" s="15" t="inlineStr">
        <is>
          <t>Mở</t>
        </is>
      </c>
      <c r="N130" s="15" t="n"/>
      <c r="O130" s="15">
        <f>IF(OR(B130="",L130=""),"",B130+IF(L130="P0",0,IF(L130="P1",7,IF(L130="P2",30,90))))</f>
        <v/>
      </c>
      <c r="P130" s="15" t="n"/>
      <c r="Q130" s="15">
        <f>IF(B130="","",IF(P130&lt;&gt;"",P130-B130,TODAY()-B130))</f>
        <v/>
      </c>
      <c r="R130" s="15" t="n"/>
    </row>
    <row r="131">
      <c r="A131" s="15" t="n"/>
      <c r="B131" s="15" t="n"/>
      <c r="C131" s="15" t="n"/>
      <c r="D131" s="15" t="n"/>
      <c r="E131" s="15" t="n"/>
      <c r="F131" s="15" t="n"/>
      <c r="G131" s="15" t="n"/>
      <c r="H131" s="15" t="n"/>
      <c r="I131" s="15" t="n"/>
      <c r="J131" s="15" t="inlineStr">
        <is>
          <t>Không</t>
        </is>
      </c>
      <c r="K131" s="15" t="n"/>
      <c r="L131" s="15" t="n"/>
      <c r="M131" s="15" t="inlineStr">
        <is>
          <t>Mở</t>
        </is>
      </c>
      <c r="N131" s="15" t="n"/>
      <c r="O131" s="15">
        <f>IF(OR(B131="",L131=""),"",B131+IF(L131="P0",0,IF(L131="P1",7,IF(L131="P2",30,90))))</f>
        <v/>
      </c>
      <c r="P131" s="15" t="n"/>
      <c r="Q131" s="15">
        <f>IF(B131="","",IF(P131&lt;&gt;"",P131-B131,TODAY()-B131))</f>
        <v/>
      </c>
      <c r="R131" s="15" t="n"/>
    </row>
    <row r="132">
      <c r="A132" s="15" t="n"/>
      <c r="B132" s="15" t="n"/>
      <c r="C132" s="15" t="n"/>
      <c r="D132" s="15" t="n"/>
      <c r="E132" s="15" t="n"/>
      <c r="F132" s="15" t="n"/>
      <c r="G132" s="15" t="n"/>
      <c r="H132" s="15" t="n"/>
      <c r="I132" s="15" t="n"/>
      <c r="J132" s="15" t="inlineStr">
        <is>
          <t>Không</t>
        </is>
      </c>
      <c r="K132" s="15" t="n"/>
      <c r="L132" s="15" t="n"/>
      <c r="M132" s="15" t="inlineStr">
        <is>
          <t>Mở</t>
        </is>
      </c>
      <c r="N132" s="15" t="n"/>
      <c r="O132" s="15">
        <f>IF(OR(B132="",L132=""),"",B132+IF(L132="P0",0,IF(L132="P1",7,IF(L132="P2",30,90))))</f>
        <v/>
      </c>
      <c r="P132" s="15" t="n"/>
      <c r="Q132" s="15">
        <f>IF(B132="","",IF(P132&lt;&gt;"",P132-B132,TODAY()-B132))</f>
        <v/>
      </c>
      <c r="R132" s="15" t="n"/>
    </row>
    <row r="133">
      <c r="A133" s="15" t="n"/>
      <c r="B133" s="15" t="n"/>
      <c r="C133" s="15" t="n"/>
      <c r="D133" s="15" t="n"/>
      <c r="E133" s="15" t="n"/>
      <c r="F133" s="15" t="n"/>
      <c r="G133" s="15" t="n"/>
      <c r="H133" s="15" t="n"/>
      <c r="I133" s="15" t="n"/>
      <c r="J133" s="15" t="inlineStr">
        <is>
          <t>Không</t>
        </is>
      </c>
      <c r="K133" s="15" t="n"/>
      <c r="L133" s="15" t="n"/>
      <c r="M133" s="15" t="inlineStr">
        <is>
          <t>Mở</t>
        </is>
      </c>
      <c r="N133" s="15" t="n"/>
      <c r="O133" s="15">
        <f>IF(OR(B133="",L133=""),"",B133+IF(L133="P0",0,IF(L133="P1",7,IF(L133="P2",30,90))))</f>
        <v/>
      </c>
      <c r="P133" s="15" t="n"/>
      <c r="Q133" s="15">
        <f>IF(B133="","",IF(P133&lt;&gt;"",P133-B133,TODAY()-B133))</f>
        <v/>
      </c>
      <c r="R133" s="15" t="n"/>
    </row>
    <row r="134">
      <c r="A134" s="15" t="n"/>
      <c r="B134" s="15" t="n"/>
      <c r="C134" s="15" t="n"/>
      <c r="D134" s="15" t="n"/>
      <c r="E134" s="15" t="n"/>
      <c r="F134" s="15" t="n"/>
      <c r="G134" s="15" t="n"/>
      <c r="H134" s="15" t="n"/>
      <c r="I134" s="15" t="n"/>
      <c r="J134" s="15" t="inlineStr">
        <is>
          <t>Không</t>
        </is>
      </c>
      <c r="K134" s="15" t="n"/>
      <c r="L134" s="15" t="n"/>
      <c r="M134" s="15" t="inlineStr">
        <is>
          <t>Mở</t>
        </is>
      </c>
      <c r="N134" s="15" t="n"/>
      <c r="O134" s="15">
        <f>IF(OR(B134="",L134=""),"",B134+IF(L134="P0",0,IF(L134="P1",7,IF(L134="P2",30,90))))</f>
        <v/>
      </c>
      <c r="P134" s="15" t="n"/>
      <c r="Q134" s="15">
        <f>IF(B134="","",IF(P134&lt;&gt;"",P134-B134,TODAY()-B134))</f>
        <v/>
      </c>
      <c r="R134" s="15" t="n"/>
    </row>
    <row r="135">
      <c r="A135" s="15" t="n"/>
      <c r="B135" s="15" t="n"/>
      <c r="C135" s="15" t="n"/>
      <c r="D135" s="15" t="n"/>
      <c r="E135" s="15" t="n"/>
      <c r="F135" s="15" t="n"/>
      <c r="G135" s="15" t="n"/>
      <c r="H135" s="15" t="n"/>
      <c r="I135" s="15" t="n"/>
      <c r="J135" s="15" t="inlineStr">
        <is>
          <t>Không</t>
        </is>
      </c>
      <c r="K135" s="15" t="n"/>
      <c r="L135" s="15" t="n"/>
      <c r="M135" s="15" t="inlineStr">
        <is>
          <t>Mở</t>
        </is>
      </c>
      <c r="N135" s="15" t="n"/>
      <c r="O135" s="15">
        <f>IF(OR(B135="",L135=""),"",B135+IF(L135="P0",0,IF(L135="P1",7,IF(L135="P2",30,90))))</f>
        <v/>
      </c>
      <c r="P135" s="15" t="n"/>
      <c r="Q135" s="15">
        <f>IF(B135="","",IF(P135&lt;&gt;"",P135-B135,TODAY()-B135))</f>
        <v/>
      </c>
      <c r="R135" s="15" t="n"/>
    </row>
    <row r="136">
      <c r="A136" s="15" t="n"/>
      <c r="B136" s="15" t="n"/>
      <c r="C136" s="15" t="n"/>
      <c r="D136" s="15" t="n"/>
      <c r="E136" s="15" t="n"/>
      <c r="F136" s="15" t="n"/>
      <c r="G136" s="15" t="n"/>
      <c r="H136" s="15" t="n"/>
      <c r="I136" s="15" t="n"/>
      <c r="J136" s="15" t="inlineStr">
        <is>
          <t>Không</t>
        </is>
      </c>
      <c r="K136" s="15" t="n"/>
      <c r="L136" s="15" t="n"/>
      <c r="M136" s="15" t="inlineStr">
        <is>
          <t>Mở</t>
        </is>
      </c>
      <c r="N136" s="15" t="n"/>
      <c r="O136" s="15">
        <f>IF(OR(B136="",L136=""),"",B136+IF(L136="P0",0,IF(L136="P1",7,IF(L136="P2",30,90))))</f>
        <v/>
      </c>
      <c r="P136" s="15" t="n"/>
      <c r="Q136" s="15">
        <f>IF(B136="","",IF(P136&lt;&gt;"",P136-B136,TODAY()-B136))</f>
        <v/>
      </c>
      <c r="R136" s="15" t="n"/>
    </row>
    <row r="137">
      <c r="A137" s="15" t="n"/>
      <c r="B137" s="15" t="n"/>
      <c r="C137" s="15" t="n"/>
      <c r="D137" s="15" t="n"/>
      <c r="E137" s="15" t="n"/>
      <c r="F137" s="15" t="n"/>
      <c r="G137" s="15" t="n"/>
      <c r="H137" s="15" t="n"/>
      <c r="I137" s="15" t="n"/>
      <c r="J137" s="15" t="inlineStr">
        <is>
          <t>Không</t>
        </is>
      </c>
      <c r="K137" s="15" t="n"/>
      <c r="L137" s="15" t="n"/>
      <c r="M137" s="15" t="inlineStr">
        <is>
          <t>Mở</t>
        </is>
      </c>
      <c r="N137" s="15" t="n"/>
      <c r="O137" s="15">
        <f>IF(OR(B137="",L137=""),"",B137+IF(L137="P0",0,IF(L137="P1",7,IF(L137="P2",30,90))))</f>
        <v/>
      </c>
      <c r="P137" s="15" t="n"/>
      <c r="Q137" s="15">
        <f>IF(B137="","",IF(P137&lt;&gt;"",P137-B137,TODAY()-B137))</f>
        <v/>
      </c>
      <c r="R137" s="15" t="n"/>
    </row>
    <row r="138">
      <c r="A138" s="15" t="n"/>
      <c r="B138" s="15" t="n"/>
      <c r="C138" s="15" t="n"/>
      <c r="D138" s="15" t="n"/>
      <c r="E138" s="15" t="n"/>
      <c r="F138" s="15" t="n"/>
      <c r="G138" s="15" t="n"/>
      <c r="H138" s="15" t="n"/>
      <c r="I138" s="15" t="n"/>
      <c r="J138" s="15" t="inlineStr">
        <is>
          <t>Không</t>
        </is>
      </c>
      <c r="K138" s="15" t="n"/>
      <c r="L138" s="15" t="n"/>
      <c r="M138" s="15" t="inlineStr">
        <is>
          <t>Mở</t>
        </is>
      </c>
      <c r="N138" s="15" t="n"/>
      <c r="O138" s="15">
        <f>IF(OR(B138="",L138=""),"",B138+IF(L138="P0",0,IF(L138="P1",7,IF(L138="P2",30,90))))</f>
        <v/>
      </c>
      <c r="P138" s="15" t="n"/>
      <c r="Q138" s="15">
        <f>IF(B138="","",IF(P138&lt;&gt;"",P138-B138,TODAY()-B138))</f>
        <v/>
      </c>
      <c r="R138" s="15" t="n"/>
    </row>
    <row r="139">
      <c r="A139" s="15" t="n"/>
      <c r="B139" s="15" t="n"/>
      <c r="C139" s="15" t="n"/>
      <c r="D139" s="15" t="n"/>
      <c r="E139" s="15" t="n"/>
      <c r="F139" s="15" t="n"/>
      <c r="G139" s="15" t="n"/>
      <c r="H139" s="15" t="n"/>
      <c r="I139" s="15" t="n"/>
      <c r="J139" s="15" t="inlineStr">
        <is>
          <t>Không</t>
        </is>
      </c>
      <c r="K139" s="15" t="n"/>
      <c r="L139" s="15" t="n"/>
      <c r="M139" s="15" t="inlineStr">
        <is>
          <t>Mở</t>
        </is>
      </c>
      <c r="N139" s="15" t="n"/>
      <c r="O139" s="15">
        <f>IF(OR(B139="",L139=""),"",B139+IF(L139="P0",0,IF(L139="P1",7,IF(L139="P2",30,90))))</f>
        <v/>
      </c>
      <c r="P139" s="15" t="n"/>
      <c r="Q139" s="15">
        <f>IF(B139="","",IF(P139&lt;&gt;"",P139-B139,TODAY()-B139))</f>
        <v/>
      </c>
      <c r="R139" s="15" t="n"/>
    </row>
    <row r="140">
      <c r="A140" s="15" t="n"/>
      <c r="B140" s="15" t="n"/>
      <c r="C140" s="15" t="n"/>
      <c r="D140" s="15" t="n"/>
      <c r="E140" s="15" t="n"/>
      <c r="F140" s="15" t="n"/>
      <c r="G140" s="15" t="n"/>
      <c r="H140" s="15" t="n"/>
      <c r="I140" s="15" t="n"/>
      <c r="J140" s="15" t="inlineStr">
        <is>
          <t>Không</t>
        </is>
      </c>
      <c r="K140" s="15" t="n"/>
      <c r="L140" s="15" t="n"/>
      <c r="M140" s="15" t="inlineStr">
        <is>
          <t>Mở</t>
        </is>
      </c>
      <c r="N140" s="15" t="n"/>
      <c r="O140" s="15">
        <f>IF(OR(B140="",L140=""),"",B140+IF(L140="P0",0,IF(L140="P1",7,IF(L140="P2",30,90))))</f>
        <v/>
      </c>
      <c r="P140" s="15" t="n"/>
      <c r="Q140" s="15">
        <f>IF(B140="","",IF(P140&lt;&gt;"",P140-B140,TODAY()-B140))</f>
        <v/>
      </c>
      <c r="R140" s="15" t="n"/>
    </row>
    <row r="141">
      <c r="A141" s="15" t="n"/>
      <c r="B141" s="15" t="n"/>
      <c r="C141" s="15" t="n"/>
      <c r="D141" s="15" t="n"/>
      <c r="E141" s="15" t="n"/>
      <c r="F141" s="15" t="n"/>
      <c r="G141" s="15" t="n"/>
      <c r="H141" s="15" t="n"/>
      <c r="I141" s="15" t="n"/>
      <c r="J141" s="15" t="inlineStr">
        <is>
          <t>Không</t>
        </is>
      </c>
      <c r="K141" s="15" t="n"/>
      <c r="L141" s="15" t="n"/>
      <c r="M141" s="15" t="inlineStr">
        <is>
          <t>Mở</t>
        </is>
      </c>
      <c r="N141" s="15" t="n"/>
      <c r="O141" s="15">
        <f>IF(OR(B141="",L141=""),"",B141+IF(L141="P0",0,IF(L141="P1",7,IF(L141="P2",30,90))))</f>
        <v/>
      </c>
      <c r="P141" s="15" t="n"/>
      <c r="Q141" s="15">
        <f>IF(B141="","",IF(P141&lt;&gt;"",P141-B141,TODAY()-B141))</f>
        <v/>
      </c>
      <c r="R141" s="15" t="n"/>
    </row>
    <row r="142">
      <c r="A142" s="15" t="n"/>
      <c r="B142" s="15" t="n"/>
      <c r="C142" s="15" t="n"/>
      <c r="D142" s="15" t="n"/>
      <c r="E142" s="15" t="n"/>
      <c r="F142" s="15" t="n"/>
      <c r="G142" s="15" t="n"/>
      <c r="H142" s="15" t="n"/>
      <c r="I142" s="15" t="n"/>
      <c r="J142" s="15" t="inlineStr">
        <is>
          <t>Không</t>
        </is>
      </c>
      <c r="K142" s="15" t="n"/>
      <c r="L142" s="15" t="n"/>
      <c r="M142" s="15" t="inlineStr">
        <is>
          <t>Mở</t>
        </is>
      </c>
      <c r="N142" s="15" t="n"/>
      <c r="O142" s="15">
        <f>IF(OR(B142="",L142=""),"",B142+IF(L142="P0",0,IF(L142="P1",7,IF(L142="P2",30,90))))</f>
        <v/>
      </c>
      <c r="P142" s="15" t="n"/>
      <c r="Q142" s="15">
        <f>IF(B142="","",IF(P142&lt;&gt;"",P142-B142,TODAY()-B142))</f>
        <v/>
      </c>
      <c r="R142" s="15" t="n"/>
    </row>
    <row r="143">
      <c r="A143" s="15" t="n"/>
      <c r="B143" s="15" t="n"/>
      <c r="C143" s="15" t="n"/>
      <c r="D143" s="15" t="n"/>
      <c r="E143" s="15" t="n"/>
      <c r="F143" s="15" t="n"/>
      <c r="G143" s="15" t="n"/>
      <c r="H143" s="15" t="n"/>
      <c r="I143" s="15" t="n"/>
      <c r="J143" s="15" t="inlineStr">
        <is>
          <t>Không</t>
        </is>
      </c>
      <c r="K143" s="15" t="n"/>
      <c r="L143" s="15" t="n"/>
      <c r="M143" s="15" t="inlineStr">
        <is>
          <t>Mở</t>
        </is>
      </c>
      <c r="N143" s="15" t="n"/>
      <c r="O143" s="15">
        <f>IF(OR(B143="",L143=""),"",B143+IF(L143="P0",0,IF(L143="P1",7,IF(L143="P2",30,90))))</f>
        <v/>
      </c>
      <c r="P143" s="15" t="n"/>
      <c r="Q143" s="15">
        <f>IF(B143="","",IF(P143&lt;&gt;"",P143-B143,TODAY()-B143))</f>
        <v/>
      </c>
      <c r="R143" s="15" t="n"/>
    </row>
    <row r="144">
      <c r="A144" s="15" t="n"/>
      <c r="B144" s="15" t="n"/>
      <c r="C144" s="15" t="n"/>
      <c r="D144" s="15" t="n"/>
      <c r="E144" s="15" t="n"/>
      <c r="F144" s="15" t="n"/>
      <c r="G144" s="15" t="n"/>
      <c r="H144" s="15" t="n"/>
      <c r="I144" s="15" t="n"/>
      <c r="J144" s="15" t="inlineStr">
        <is>
          <t>Không</t>
        </is>
      </c>
      <c r="K144" s="15" t="n"/>
      <c r="L144" s="15" t="n"/>
      <c r="M144" s="15" t="inlineStr">
        <is>
          <t>Mở</t>
        </is>
      </c>
      <c r="N144" s="15" t="n"/>
      <c r="O144" s="15">
        <f>IF(OR(B144="",L144=""),"",B144+IF(L144="P0",0,IF(L144="P1",7,IF(L144="P2",30,90))))</f>
        <v/>
      </c>
      <c r="P144" s="15" t="n"/>
      <c r="Q144" s="15">
        <f>IF(B144="","",IF(P144&lt;&gt;"",P144-B144,TODAY()-B144))</f>
        <v/>
      </c>
      <c r="R144" s="15" t="n"/>
    </row>
    <row r="145">
      <c r="A145" s="15" t="n"/>
      <c r="B145" s="15" t="n"/>
      <c r="C145" s="15" t="n"/>
      <c r="D145" s="15" t="n"/>
      <c r="E145" s="15" t="n"/>
      <c r="F145" s="15" t="n"/>
      <c r="G145" s="15" t="n"/>
      <c r="H145" s="15" t="n"/>
      <c r="I145" s="15" t="n"/>
      <c r="J145" s="15" t="inlineStr">
        <is>
          <t>Không</t>
        </is>
      </c>
      <c r="K145" s="15" t="n"/>
      <c r="L145" s="15" t="n"/>
      <c r="M145" s="15" t="inlineStr">
        <is>
          <t>Mở</t>
        </is>
      </c>
      <c r="N145" s="15" t="n"/>
      <c r="O145" s="15">
        <f>IF(OR(B145="",L145=""),"",B145+IF(L145="P0",0,IF(L145="P1",7,IF(L145="P2",30,90))))</f>
        <v/>
      </c>
      <c r="P145" s="15" t="n"/>
      <c r="Q145" s="15">
        <f>IF(B145="","",IF(P145&lt;&gt;"",P145-B145,TODAY()-B145))</f>
        <v/>
      </c>
      <c r="R145" s="15" t="n"/>
    </row>
    <row r="146">
      <c r="A146" s="15" t="n"/>
      <c r="B146" s="15" t="n"/>
      <c r="C146" s="15" t="n"/>
      <c r="D146" s="15" t="n"/>
      <c r="E146" s="15" t="n"/>
      <c r="F146" s="15" t="n"/>
      <c r="G146" s="15" t="n"/>
      <c r="H146" s="15" t="n"/>
      <c r="I146" s="15" t="n"/>
      <c r="J146" s="15" t="inlineStr">
        <is>
          <t>Không</t>
        </is>
      </c>
      <c r="K146" s="15" t="n"/>
      <c r="L146" s="15" t="n"/>
      <c r="M146" s="15" t="inlineStr">
        <is>
          <t>Mở</t>
        </is>
      </c>
      <c r="N146" s="15" t="n"/>
      <c r="O146" s="15">
        <f>IF(OR(B146="",L146=""),"",B146+IF(L146="P0",0,IF(L146="P1",7,IF(L146="P2",30,90))))</f>
        <v/>
      </c>
      <c r="P146" s="15" t="n"/>
      <c r="Q146" s="15">
        <f>IF(B146="","",IF(P146&lt;&gt;"",P146-B146,TODAY()-B146))</f>
        <v/>
      </c>
      <c r="R146" s="15" t="n"/>
    </row>
    <row r="147">
      <c r="A147" s="15" t="n"/>
      <c r="B147" s="15" t="n"/>
      <c r="C147" s="15" t="n"/>
      <c r="D147" s="15" t="n"/>
      <c r="E147" s="15" t="n"/>
      <c r="F147" s="15" t="n"/>
      <c r="G147" s="15" t="n"/>
      <c r="H147" s="15" t="n"/>
      <c r="I147" s="15" t="n"/>
      <c r="J147" s="15" t="inlineStr">
        <is>
          <t>Không</t>
        </is>
      </c>
      <c r="K147" s="15" t="n"/>
      <c r="L147" s="15" t="n"/>
      <c r="M147" s="15" t="inlineStr">
        <is>
          <t>Mở</t>
        </is>
      </c>
      <c r="N147" s="15" t="n"/>
      <c r="O147" s="15">
        <f>IF(OR(B147="",L147=""),"",B147+IF(L147="P0",0,IF(L147="P1",7,IF(L147="P2",30,90))))</f>
        <v/>
      </c>
      <c r="P147" s="15" t="n"/>
      <c r="Q147" s="15">
        <f>IF(B147="","",IF(P147&lt;&gt;"",P147-B147,TODAY()-B147))</f>
        <v/>
      </c>
      <c r="R147" s="15" t="n"/>
    </row>
    <row r="148">
      <c r="A148" s="15" t="n"/>
      <c r="B148" s="15" t="n"/>
      <c r="C148" s="15" t="n"/>
      <c r="D148" s="15" t="n"/>
      <c r="E148" s="15" t="n"/>
      <c r="F148" s="15" t="n"/>
      <c r="G148" s="15" t="n"/>
      <c r="H148" s="15" t="n"/>
      <c r="I148" s="15" t="n"/>
      <c r="J148" s="15" t="inlineStr">
        <is>
          <t>Không</t>
        </is>
      </c>
      <c r="K148" s="15" t="n"/>
      <c r="L148" s="15" t="n"/>
      <c r="M148" s="15" t="inlineStr">
        <is>
          <t>Mở</t>
        </is>
      </c>
      <c r="N148" s="15" t="n"/>
      <c r="O148" s="15">
        <f>IF(OR(B148="",L148=""),"",B148+IF(L148="P0",0,IF(L148="P1",7,IF(L148="P2",30,90))))</f>
        <v/>
      </c>
      <c r="P148" s="15" t="n"/>
      <c r="Q148" s="15">
        <f>IF(B148="","",IF(P148&lt;&gt;"",P148-B148,TODAY()-B148))</f>
        <v/>
      </c>
      <c r="R148" s="15" t="n"/>
    </row>
    <row r="149">
      <c r="A149" s="15" t="n"/>
      <c r="B149" s="15" t="n"/>
      <c r="C149" s="15" t="n"/>
      <c r="D149" s="15" t="n"/>
      <c r="E149" s="15" t="n"/>
      <c r="F149" s="15" t="n"/>
      <c r="G149" s="15" t="n"/>
      <c r="H149" s="15" t="n"/>
      <c r="I149" s="15" t="n"/>
      <c r="J149" s="15" t="inlineStr">
        <is>
          <t>Không</t>
        </is>
      </c>
      <c r="K149" s="15" t="n"/>
      <c r="L149" s="15" t="n"/>
      <c r="M149" s="15" t="inlineStr">
        <is>
          <t>Mở</t>
        </is>
      </c>
      <c r="N149" s="15" t="n"/>
      <c r="O149" s="15">
        <f>IF(OR(B149="",L149=""),"",B149+IF(L149="P0",0,IF(L149="P1",7,IF(L149="P2",30,90))))</f>
        <v/>
      </c>
      <c r="P149" s="15" t="n"/>
      <c r="Q149" s="15">
        <f>IF(B149="","",IF(P149&lt;&gt;"",P149-B149,TODAY()-B149))</f>
        <v/>
      </c>
      <c r="R149" s="15" t="n"/>
    </row>
    <row r="150">
      <c r="A150" s="15" t="n"/>
      <c r="B150" s="15" t="n"/>
      <c r="C150" s="15" t="n"/>
      <c r="D150" s="15" t="n"/>
      <c r="E150" s="15" t="n"/>
      <c r="F150" s="15" t="n"/>
      <c r="G150" s="15" t="n"/>
      <c r="H150" s="15" t="n"/>
      <c r="I150" s="15" t="n"/>
      <c r="J150" s="15" t="inlineStr">
        <is>
          <t>Không</t>
        </is>
      </c>
      <c r="K150" s="15" t="n"/>
      <c r="L150" s="15" t="n"/>
      <c r="M150" s="15" t="inlineStr">
        <is>
          <t>Mở</t>
        </is>
      </c>
      <c r="N150" s="15" t="n"/>
      <c r="O150" s="15">
        <f>IF(OR(B150="",L150=""),"",B150+IF(L150="P0",0,IF(L150="P1",7,IF(L150="P2",30,90))))</f>
        <v/>
      </c>
      <c r="P150" s="15" t="n"/>
      <c r="Q150" s="15">
        <f>IF(B150="","",IF(P150&lt;&gt;"",P150-B150,TODAY()-B150))</f>
        <v/>
      </c>
      <c r="R150" s="15" t="n"/>
    </row>
    <row r="151">
      <c r="A151" s="15" t="n"/>
      <c r="B151" s="15" t="n"/>
      <c r="C151" s="15" t="n"/>
      <c r="D151" s="15" t="n"/>
      <c r="E151" s="15" t="n"/>
      <c r="F151" s="15" t="n"/>
      <c r="G151" s="15" t="n"/>
      <c r="H151" s="15" t="n"/>
      <c r="I151" s="15" t="n"/>
      <c r="J151" s="15" t="inlineStr">
        <is>
          <t>Không</t>
        </is>
      </c>
      <c r="K151" s="15" t="n"/>
      <c r="L151" s="15" t="n"/>
      <c r="M151" s="15" t="inlineStr">
        <is>
          <t>Mở</t>
        </is>
      </c>
      <c r="N151" s="15" t="n"/>
      <c r="O151" s="15">
        <f>IF(OR(B151="",L151=""),"",B151+IF(L151="P0",0,IF(L151="P1",7,IF(L151="P2",30,90))))</f>
        <v/>
      </c>
      <c r="P151" s="15" t="n"/>
      <c r="Q151" s="15">
        <f>IF(B151="","",IF(P151&lt;&gt;"",P151-B151,TODAY()-B151))</f>
        <v/>
      </c>
      <c r="R151" s="15" t="n"/>
    </row>
    <row r="152">
      <c r="A152" s="15" t="n"/>
      <c r="B152" s="15" t="n"/>
      <c r="C152" s="15" t="n"/>
      <c r="D152" s="15" t="n"/>
      <c r="E152" s="15" t="n"/>
      <c r="F152" s="15" t="n"/>
      <c r="G152" s="15" t="n"/>
      <c r="H152" s="15" t="n"/>
      <c r="I152" s="15" t="n"/>
      <c r="J152" s="15" t="inlineStr">
        <is>
          <t>Không</t>
        </is>
      </c>
      <c r="K152" s="15" t="n"/>
      <c r="L152" s="15" t="n"/>
      <c r="M152" s="15" t="inlineStr">
        <is>
          <t>Mở</t>
        </is>
      </c>
      <c r="N152" s="15" t="n"/>
      <c r="O152" s="15">
        <f>IF(OR(B152="",L152=""),"",B152+IF(L152="P0",0,IF(L152="P1",7,IF(L152="P2",30,90))))</f>
        <v/>
      </c>
      <c r="P152" s="15" t="n"/>
      <c r="Q152" s="15">
        <f>IF(B152="","",IF(P152&lt;&gt;"",P152-B152,TODAY()-B152))</f>
        <v/>
      </c>
      <c r="R152" s="15" t="n"/>
    </row>
    <row r="153">
      <c r="A153" s="15" t="n"/>
      <c r="B153" s="15" t="n"/>
      <c r="C153" s="15" t="n"/>
      <c r="D153" s="15" t="n"/>
      <c r="E153" s="15" t="n"/>
      <c r="F153" s="15" t="n"/>
      <c r="G153" s="15" t="n"/>
      <c r="H153" s="15" t="n"/>
      <c r="I153" s="15" t="n"/>
      <c r="J153" s="15" t="inlineStr">
        <is>
          <t>Không</t>
        </is>
      </c>
      <c r="K153" s="15" t="n"/>
      <c r="L153" s="15" t="n"/>
      <c r="M153" s="15" t="inlineStr">
        <is>
          <t>Mở</t>
        </is>
      </c>
      <c r="N153" s="15" t="n"/>
      <c r="O153" s="15">
        <f>IF(OR(B153="",L153=""),"",B153+IF(L153="P0",0,IF(L153="P1",7,IF(L153="P2",30,90))))</f>
        <v/>
      </c>
      <c r="P153" s="15" t="n"/>
      <c r="Q153" s="15">
        <f>IF(B153="","",IF(P153&lt;&gt;"",P153-B153,TODAY()-B153))</f>
        <v/>
      </c>
      <c r="R153" s="15" t="n"/>
    </row>
    <row r="154">
      <c r="A154" s="15" t="n"/>
      <c r="B154" s="15" t="n"/>
      <c r="C154" s="15" t="n"/>
      <c r="D154" s="15" t="n"/>
      <c r="E154" s="15" t="n"/>
      <c r="F154" s="15" t="n"/>
      <c r="G154" s="15" t="n"/>
      <c r="H154" s="15" t="n"/>
      <c r="I154" s="15" t="n"/>
      <c r="J154" s="15" t="inlineStr">
        <is>
          <t>Không</t>
        </is>
      </c>
      <c r="K154" s="15" t="n"/>
      <c r="L154" s="15" t="n"/>
      <c r="M154" s="15" t="inlineStr">
        <is>
          <t>Mở</t>
        </is>
      </c>
      <c r="N154" s="15" t="n"/>
      <c r="O154" s="15">
        <f>IF(OR(B154="",L154=""),"",B154+IF(L154="P0",0,IF(L154="P1",7,IF(L154="P2",30,90))))</f>
        <v/>
      </c>
      <c r="P154" s="15" t="n"/>
      <c r="Q154" s="15">
        <f>IF(B154="","",IF(P154&lt;&gt;"",P154-B154,TODAY()-B154))</f>
        <v/>
      </c>
      <c r="R154" s="15" t="n"/>
    </row>
    <row r="155">
      <c r="A155" s="15" t="n"/>
      <c r="B155" s="15" t="n"/>
      <c r="C155" s="15" t="n"/>
      <c r="D155" s="15" t="n"/>
      <c r="E155" s="15" t="n"/>
      <c r="F155" s="15" t="n"/>
      <c r="G155" s="15" t="n"/>
      <c r="H155" s="15" t="n"/>
      <c r="I155" s="15" t="n"/>
      <c r="J155" s="15" t="inlineStr">
        <is>
          <t>Không</t>
        </is>
      </c>
      <c r="K155" s="15" t="n"/>
      <c r="L155" s="15" t="n"/>
      <c r="M155" s="15" t="inlineStr">
        <is>
          <t>Mở</t>
        </is>
      </c>
      <c r="N155" s="15" t="n"/>
      <c r="O155" s="15">
        <f>IF(OR(B155="",L155=""),"",B155+IF(L155="P0",0,IF(L155="P1",7,IF(L155="P2",30,90))))</f>
        <v/>
      </c>
      <c r="P155" s="15" t="n"/>
      <c r="Q155" s="15">
        <f>IF(B155="","",IF(P155&lt;&gt;"",P155-B155,TODAY()-B155))</f>
        <v/>
      </c>
      <c r="R155" s="15" t="n"/>
    </row>
    <row r="156">
      <c r="A156" s="15" t="n"/>
      <c r="B156" s="15" t="n"/>
      <c r="C156" s="15" t="n"/>
      <c r="D156" s="15" t="n"/>
      <c r="E156" s="15" t="n"/>
      <c r="F156" s="15" t="n"/>
      <c r="G156" s="15" t="n"/>
      <c r="H156" s="15" t="n"/>
      <c r="I156" s="15" t="n"/>
      <c r="J156" s="15" t="inlineStr">
        <is>
          <t>Không</t>
        </is>
      </c>
      <c r="K156" s="15" t="n"/>
      <c r="L156" s="15" t="n"/>
      <c r="M156" s="15" t="inlineStr">
        <is>
          <t>Mở</t>
        </is>
      </c>
      <c r="N156" s="15" t="n"/>
      <c r="O156" s="15">
        <f>IF(OR(B156="",L156=""),"",B156+IF(L156="P0",0,IF(L156="P1",7,IF(L156="P2",30,90))))</f>
        <v/>
      </c>
      <c r="P156" s="15" t="n"/>
      <c r="Q156" s="15">
        <f>IF(B156="","",IF(P156&lt;&gt;"",P156-B156,TODAY()-B156))</f>
        <v/>
      </c>
      <c r="R156" s="15" t="n"/>
    </row>
    <row r="157">
      <c r="A157" s="15" t="n"/>
      <c r="B157" s="15" t="n"/>
      <c r="C157" s="15" t="n"/>
      <c r="D157" s="15" t="n"/>
      <c r="E157" s="15" t="n"/>
      <c r="F157" s="15" t="n"/>
      <c r="G157" s="15" t="n"/>
      <c r="H157" s="15" t="n"/>
      <c r="I157" s="15" t="n"/>
      <c r="J157" s="15" t="inlineStr">
        <is>
          <t>Không</t>
        </is>
      </c>
      <c r="K157" s="15" t="n"/>
      <c r="L157" s="15" t="n"/>
      <c r="M157" s="15" t="inlineStr">
        <is>
          <t>Mở</t>
        </is>
      </c>
      <c r="N157" s="15" t="n"/>
      <c r="O157" s="15">
        <f>IF(OR(B157="",L157=""),"",B157+IF(L157="P0",0,IF(L157="P1",7,IF(L157="P2",30,90))))</f>
        <v/>
      </c>
      <c r="P157" s="15" t="n"/>
      <c r="Q157" s="15">
        <f>IF(B157="","",IF(P157&lt;&gt;"",P157-B157,TODAY()-B157))</f>
        <v/>
      </c>
      <c r="R157" s="15" t="n"/>
    </row>
    <row r="158">
      <c r="A158" s="15" t="n"/>
      <c r="B158" s="15" t="n"/>
      <c r="C158" s="15" t="n"/>
      <c r="D158" s="15" t="n"/>
      <c r="E158" s="15" t="n"/>
      <c r="F158" s="15" t="n"/>
      <c r="G158" s="15" t="n"/>
      <c r="H158" s="15" t="n"/>
      <c r="I158" s="15" t="n"/>
      <c r="J158" s="15" t="inlineStr">
        <is>
          <t>Không</t>
        </is>
      </c>
      <c r="K158" s="15" t="n"/>
      <c r="L158" s="15" t="n"/>
      <c r="M158" s="15" t="inlineStr">
        <is>
          <t>Mở</t>
        </is>
      </c>
      <c r="N158" s="15" t="n"/>
      <c r="O158" s="15">
        <f>IF(OR(B158="",L158=""),"",B158+IF(L158="P0",0,IF(L158="P1",7,IF(L158="P2",30,90))))</f>
        <v/>
      </c>
      <c r="P158" s="15" t="n"/>
      <c r="Q158" s="15">
        <f>IF(B158="","",IF(P158&lt;&gt;"",P158-B158,TODAY()-B158))</f>
        <v/>
      </c>
      <c r="R158" s="15" t="n"/>
    </row>
    <row r="159">
      <c r="A159" s="15" t="n"/>
      <c r="B159" s="15" t="n"/>
      <c r="C159" s="15" t="n"/>
      <c r="D159" s="15" t="n"/>
      <c r="E159" s="15" t="n"/>
      <c r="F159" s="15" t="n"/>
      <c r="G159" s="15" t="n"/>
      <c r="H159" s="15" t="n"/>
      <c r="I159" s="15" t="n"/>
      <c r="J159" s="15" t="inlineStr">
        <is>
          <t>Không</t>
        </is>
      </c>
      <c r="K159" s="15" t="n"/>
      <c r="L159" s="15" t="n"/>
      <c r="M159" s="15" t="inlineStr">
        <is>
          <t>Mở</t>
        </is>
      </c>
      <c r="N159" s="15" t="n"/>
      <c r="O159" s="15">
        <f>IF(OR(B159="",L159=""),"",B159+IF(L159="P0",0,IF(L159="P1",7,IF(L159="P2",30,90))))</f>
        <v/>
      </c>
      <c r="P159" s="15" t="n"/>
      <c r="Q159" s="15">
        <f>IF(B159="","",IF(P159&lt;&gt;"",P159-B159,TODAY()-B159))</f>
        <v/>
      </c>
      <c r="R159" s="15" t="n"/>
    </row>
    <row r="160">
      <c r="A160" s="15" t="n"/>
      <c r="B160" s="15" t="n"/>
      <c r="C160" s="15" t="n"/>
      <c r="D160" s="15" t="n"/>
      <c r="E160" s="15" t="n"/>
      <c r="F160" s="15" t="n"/>
      <c r="G160" s="15" t="n"/>
      <c r="H160" s="15" t="n"/>
      <c r="I160" s="15" t="n"/>
      <c r="J160" s="15" t="inlineStr">
        <is>
          <t>Không</t>
        </is>
      </c>
      <c r="K160" s="15" t="n"/>
      <c r="L160" s="15" t="n"/>
      <c r="M160" s="15" t="inlineStr">
        <is>
          <t>Mở</t>
        </is>
      </c>
      <c r="N160" s="15" t="n"/>
      <c r="O160" s="15">
        <f>IF(OR(B160="",L160=""),"",B160+IF(L160="P0",0,IF(L160="P1",7,IF(L160="P2",30,90))))</f>
        <v/>
      </c>
      <c r="P160" s="15" t="n"/>
      <c r="Q160" s="15">
        <f>IF(B160="","",IF(P160&lt;&gt;"",P160-B160,TODAY()-B160))</f>
        <v/>
      </c>
      <c r="R160" s="15" t="n"/>
    </row>
    <row r="161">
      <c r="A161" s="15" t="n"/>
      <c r="B161" s="15" t="n"/>
      <c r="C161" s="15" t="n"/>
      <c r="D161" s="15" t="n"/>
      <c r="E161" s="15" t="n"/>
      <c r="F161" s="15" t="n"/>
      <c r="G161" s="15" t="n"/>
      <c r="H161" s="15" t="n"/>
      <c r="I161" s="15" t="n"/>
      <c r="J161" s="15" t="inlineStr">
        <is>
          <t>Không</t>
        </is>
      </c>
      <c r="K161" s="15" t="n"/>
      <c r="L161" s="15" t="n"/>
      <c r="M161" s="15" t="inlineStr">
        <is>
          <t>Mở</t>
        </is>
      </c>
      <c r="N161" s="15" t="n"/>
      <c r="O161" s="15">
        <f>IF(OR(B161="",L161=""),"",B161+IF(L161="P0",0,IF(L161="P1",7,IF(L161="P2",30,90))))</f>
        <v/>
      </c>
      <c r="P161" s="15" t="n"/>
      <c r="Q161" s="15">
        <f>IF(B161="","",IF(P161&lt;&gt;"",P161-B161,TODAY()-B161))</f>
        <v/>
      </c>
      <c r="R161" s="15" t="n"/>
    </row>
    <row r="162">
      <c r="A162" s="15" t="n"/>
      <c r="B162" s="15" t="n"/>
      <c r="C162" s="15" t="n"/>
      <c r="D162" s="15" t="n"/>
      <c r="E162" s="15" t="n"/>
      <c r="F162" s="15" t="n"/>
      <c r="G162" s="15" t="n"/>
      <c r="H162" s="15" t="n"/>
      <c r="I162" s="15" t="n"/>
      <c r="J162" s="15" t="inlineStr">
        <is>
          <t>Không</t>
        </is>
      </c>
      <c r="K162" s="15" t="n"/>
      <c r="L162" s="15" t="n"/>
      <c r="M162" s="15" t="inlineStr">
        <is>
          <t>Mở</t>
        </is>
      </c>
      <c r="N162" s="15" t="n"/>
      <c r="O162" s="15">
        <f>IF(OR(B162="",L162=""),"",B162+IF(L162="P0",0,IF(L162="P1",7,IF(L162="P2",30,90))))</f>
        <v/>
      </c>
      <c r="P162" s="15" t="n"/>
      <c r="Q162" s="15">
        <f>IF(B162="","",IF(P162&lt;&gt;"",P162-B162,TODAY()-B162))</f>
        <v/>
      </c>
      <c r="R162" s="15" t="n"/>
    </row>
    <row r="163">
      <c r="A163" s="15" t="n"/>
      <c r="B163" s="15" t="n"/>
      <c r="C163" s="15" t="n"/>
      <c r="D163" s="15" t="n"/>
      <c r="E163" s="15" t="n"/>
      <c r="F163" s="15" t="n"/>
      <c r="G163" s="15" t="n"/>
      <c r="H163" s="15" t="n"/>
      <c r="I163" s="15" t="n"/>
      <c r="J163" s="15" t="inlineStr">
        <is>
          <t>Không</t>
        </is>
      </c>
      <c r="K163" s="15" t="n"/>
      <c r="L163" s="15" t="n"/>
      <c r="M163" s="15" t="inlineStr">
        <is>
          <t>Mở</t>
        </is>
      </c>
      <c r="N163" s="15" t="n"/>
      <c r="O163" s="15">
        <f>IF(OR(B163="",L163=""),"",B163+IF(L163="P0",0,IF(L163="P1",7,IF(L163="P2",30,90))))</f>
        <v/>
      </c>
      <c r="P163" s="15" t="n"/>
      <c r="Q163" s="15">
        <f>IF(B163="","",IF(P163&lt;&gt;"",P163-B163,TODAY()-B163))</f>
        <v/>
      </c>
      <c r="R163" s="15" t="n"/>
    </row>
    <row r="164">
      <c r="A164" s="15" t="n"/>
      <c r="B164" s="15" t="n"/>
      <c r="C164" s="15" t="n"/>
      <c r="D164" s="15" t="n"/>
      <c r="E164" s="15" t="n"/>
      <c r="F164" s="15" t="n"/>
      <c r="G164" s="15" t="n"/>
      <c r="H164" s="15" t="n"/>
      <c r="I164" s="15" t="n"/>
      <c r="J164" s="15" t="inlineStr">
        <is>
          <t>Không</t>
        </is>
      </c>
      <c r="K164" s="15" t="n"/>
      <c r="L164" s="15" t="n"/>
      <c r="M164" s="15" t="inlineStr">
        <is>
          <t>Mở</t>
        </is>
      </c>
      <c r="N164" s="15" t="n"/>
      <c r="O164" s="15">
        <f>IF(OR(B164="",L164=""),"",B164+IF(L164="P0",0,IF(L164="P1",7,IF(L164="P2",30,90))))</f>
        <v/>
      </c>
      <c r="P164" s="15" t="n"/>
      <c r="Q164" s="15">
        <f>IF(B164="","",IF(P164&lt;&gt;"",P164-B164,TODAY()-B164))</f>
        <v/>
      </c>
      <c r="R164" s="15" t="n"/>
    </row>
    <row r="165">
      <c r="A165" s="15" t="n"/>
      <c r="B165" s="15" t="n"/>
      <c r="C165" s="15" t="n"/>
      <c r="D165" s="15" t="n"/>
      <c r="E165" s="15" t="n"/>
      <c r="F165" s="15" t="n"/>
      <c r="G165" s="15" t="n"/>
      <c r="H165" s="15" t="n"/>
      <c r="I165" s="15" t="n"/>
      <c r="J165" s="15" t="inlineStr">
        <is>
          <t>Không</t>
        </is>
      </c>
      <c r="K165" s="15" t="n"/>
      <c r="L165" s="15" t="n"/>
      <c r="M165" s="15" t="inlineStr">
        <is>
          <t>Mở</t>
        </is>
      </c>
      <c r="N165" s="15" t="n"/>
      <c r="O165" s="15">
        <f>IF(OR(B165="",L165=""),"",B165+IF(L165="P0",0,IF(L165="P1",7,IF(L165="P2",30,90))))</f>
        <v/>
      </c>
      <c r="P165" s="15" t="n"/>
      <c r="Q165" s="15">
        <f>IF(B165="","",IF(P165&lt;&gt;"",P165-B165,TODAY()-B165))</f>
        <v/>
      </c>
      <c r="R165" s="15" t="n"/>
    </row>
    <row r="166">
      <c r="A166" s="15" t="n"/>
      <c r="B166" s="15" t="n"/>
      <c r="C166" s="15" t="n"/>
      <c r="D166" s="15" t="n"/>
      <c r="E166" s="15" t="n"/>
      <c r="F166" s="15" t="n"/>
      <c r="G166" s="15" t="n"/>
      <c r="H166" s="15" t="n"/>
      <c r="I166" s="15" t="n"/>
      <c r="J166" s="15" t="inlineStr">
        <is>
          <t>Không</t>
        </is>
      </c>
      <c r="K166" s="15" t="n"/>
      <c r="L166" s="15" t="n"/>
      <c r="M166" s="15" t="inlineStr">
        <is>
          <t>Mở</t>
        </is>
      </c>
      <c r="N166" s="15" t="n"/>
      <c r="O166" s="15">
        <f>IF(OR(B166="",L166=""),"",B166+IF(L166="P0",0,IF(L166="P1",7,IF(L166="P2",30,90))))</f>
        <v/>
      </c>
      <c r="P166" s="15" t="n"/>
      <c r="Q166" s="15">
        <f>IF(B166="","",IF(P166&lt;&gt;"",P166-B166,TODAY()-B166))</f>
        <v/>
      </c>
      <c r="R166" s="15" t="n"/>
    </row>
    <row r="167">
      <c r="A167" s="15" t="n"/>
      <c r="B167" s="15" t="n"/>
      <c r="C167" s="15" t="n"/>
      <c r="D167" s="15" t="n"/>
      <c r="E167" s="15" t="n"/>
      <c r="F167" s="15" t="n"/>
      <c r="G167" s="15" t="n"/>
      <c r="H167" s="15" t="n"/>
      <c r="I167" s="15" t="n"/>
      <c r="J167" s="15" t="inlineStr">
        <is>
          <t>Không</t>
        </is>
      </c>
      <c r="K167" s="15" t="n"/>
      <c r="L167" s="15" t="n"/>
      <c r="M167" s="15" t="inlineStr">
        <is>
          <t>Mở</t>
        </is>
      </c>
      <c r="N167" s="15" t="n"/>
      <c r="O167" s="15">
        <f>IF(OR(B167="",L167=""),"",B167+IF(L167="P0",0,IF(L167="P1",7,IF(L167="P2",30,90))))</f>
        <v/>
      </c>
      <c r="P167" s="15" t="n"/>
      <c r="Q167" s="15">
        <f>IF(B167="","",IF(P167&lt;&gt;"",P167-B167,TODAY()-B167))</f>
        <v/>
      </c>
      <c r="R167" s="15" t="n"/>
    </row>
    <row r="168">
      <c r="A168" s="15" t="n"/>
      <c r="B168" s="15" t="n"/>
      <c r="C168" s="15" t="n"/>
      <c r="D168" s="15" t="n"/>
      <c r="E168" s="15" t="n"/>
      <c r="F168" s="15" t="n"/>
      <c r="G168" s="15" t="n"/>
      <c r="H168" s="15" t="n"/>
      <c r="I168" s="15" t="n"/>
      <c r="J168" s="15" t="inlineStr">
        <is>
          <t>Không</t>
        </is>
      </c>
      <c r="K168" s="15" t="n"/>
      <c r="L168" s="15" t="n"/>
      <c r="M168" s="15" t="inlineStr">
        <is>
          <t>Mở</t>
        </is>
      </c>
      <c r="N168" s="15" t="n"/>
      <c r="O168" s="15">
        <f>IF(OR(B168="",L168=""),"",B168+IF(L168="P0",0,IF(L168="P1",7,IF(L168="P2",30,90))))</f>
        <v/>
      </c>
      <c r="P168" s="15" t="n"/>
      <c r="Q168" s="15">
        <f>IF(B168="","",IF(P168&lt;&gt;"",P168-B168,TODAY()-B168))</f>
        <v/>
      </c>
      <c r="R168" s="15" t="n"/>
    </row>
    <row r="169">
      <c r="A169" s="15" t="n"/>
      <c r="B169" s="15" t="n"/>
      <c r="C169" s="15" t="n"/>
      <c r="D169" s="15" t="n"/>
      <c r="E169" s="15" t="n"/>
      <c r="F169" s="15" t="n"/>
      <c r="G169" s="15" t="n"/>
      <c r="H169" s="15" t="n"/>
      <c r="I169" s="15" t="n"/>
      <c r="J169" s="15" t="inlineStr">
        <is>
          <t>Không</t>
        </is>
      </c>
      <c r="K169" s="15" t="n"/>
      <c r="L169" s="15" t="n"/>
      <c r="M169" s="15" t="inlineStr">
        <is>
          <t>Mở</t>
        </is>
      </c>
      <c r="N169" s="15" t="n"/>
      <c r="O169" s="15">
        <f>IF(OR(B169="",L169=""),"",B169+IF(L169="P0",0,IF(L169="P1",7,IF(L169="P2",30,90))))</f>
        <v/>
      </c>
      <c r="P169" s="15" t="n"/>
      <c r="Q169" s="15">
        <f>IF(B169="","",IF(P169&lt;&gt;"",P169-B169,TODAY()-B169))</f>
        <v/>
      </c>
      <c r="R169" s="15" t="n"/>
    </row>
    <row r="170">
      <c r="A170" s="15" t="n"/>
      <c r="B170" s="15" t="n"/>
      <c r="C170" s="15" t="n"/>
      <c r="D170" s="15" t="n"/>
      <c r="E170" s="15" t="n"/>
      <c r="F170" s="15" t="n"/>
      <c r="G170" s="15" t="n"/>
      <c r="H170" s="15" t="n"/>
      <c r="I170" s="15" t="n"/>
      <c r="J170" s="15" t="inlineStr">
        <is>
          <t>Không</t>
        </is>
      </c>
      <c r="K170" s="15" t="n"/>
      <c r="L170" s="15" t="n"/>
      <c r="M170" s="15" t="inlineStr">
        <is>
          <t>Mở</t>
        </is>
      </c>
      <c r="N170" s="15" t="n"/>
      <c r="O170" s="15">
        <f>IF(OR(B170="",L170=""),"",B170+IF(L170="P0",0,IF(L170="P1",7,IF(L170="P2",30,90))))</f>
        <v/>
      </c>
      <c r="P170" s="15" t="n"/>
      <c r="Q170" s="15">
        <f>IF(B170="","",IF(P170&lt;&gt;"",P170-B170,TODAY()-B170))</f>
        <v/>
      </c>
      <c r="R170" s="15" t="n"/>
    </row>
    <row r="171">
      <c r="A171" s="15" t="n"/>
      <c r="B171" s="15" t="n"/>
      <c r="C171" s="15" t="n"/>
      <c r="D171" s="15" t="n"/>
      <c r="E171" s="15" t="n"/>
      <c r="F171" s="15" t="n"/>
      <c r="G171" s="15" t="n"/>
      <c r="H171" s="15" t="n"/>
      <c r="I171" s="15" t="n"/>
      <c r="J171" s="15" t="inlineStr">
        <is>
          <t>Không</t>
        </is>
      </c>
      <c r="K171" s="15" t="n"/>
      <c r="L171" s="15" t="n"/>
      <c r="M171" s="15" t="inlineStr">
        <is>
          <t>Mở</t>
        </is>
      </c>
      <c r="N171" s="15" t="n"/>
      <c r="O171" s="15">
        <f>IF(OR(B171="",L171=""),"",B171+IF(L171="P0",0,IF(L171="P1",7,IF(L171="P2",30,90))))</f>
        <v/>
      </c>
      <c r="P171" s="15" t="n"/>
      <c r="Q171" s="15">
        <f>IF(B171="","",IF(P171&lt;&gt;"",P171-B171,TODAY()-B171))</f>
        <v/>
      </c>
      <c r="R171" s="15" t="n"/>
    </row>
    <row r="172">
      <c r="A172" s="15" t="n"/>
      <c r="B172" s="15" t="n"/>
      <c r="C172" s="15" t="n"/>
      <c r="D172" s="15" t="n"/>
      <c r="E172" s="15" t="n"/>
      <c r="F172" s="15" t="n"/>
      <c r="G172" s="15" t="n"/>
      <c r="H172" s="15" t="n"/>
      <c r="I172" s="15" t="n"/>
      <c r="J172" s="15" t="inlineStr">
        <is>
          <t>Không</t>
        </is>
      </c>
      <c r="K172" s="15" t="n"/>
      <c r="L172" s="15" t="n"/>
      <c r="M172" s="15" t="inlineStr">
        <is>
          <t>Mở</t>
        </is>
      </c>
      <c r="N172" s="15" t="n"/>
      <c r="O172" s="15">
        <f>IF(OR(B172="",L172=""),"",B172+IF(L172="P0",0,IF(L172="P1",7,IF(L172="P2",30,90))))</f>
        <v/>
      </c>
      <c r="P172" s="15" t="n"/>
      <c r="Q172" s="15">
        <f>IF(B172="","",IF(P172&lt;&gt;"",P172-B172,TODAY()-B172))</f>
        <v/>
      </c>
      <c r="R172" s="15" t="n"/>
    </row>
    <row r="173">
      <c r="A173" s="15" t="n"/>
      <c r="B173" s="15" t="n"/>
      <c r="C173" s="15" t="n"/>
      <c r="D173" s="15" t="n"/>
      <c r="E173" s="15" t="n"/>
      <c r="F173" s="15" t="n"/>
      <c r="G173" s="15" t="n"/>
      <c r="H173" s="15" t="n"/>
      <c r="I173" s="15" t="n"/>
      <c r="J173" s="15" t="inlineStr">
        <is>
          <t>Không</t>
        </is>
      </c>
      <c r="K173" s="15" t="n"/>
      <c r="L173" s="15" t="n"/>
      <c r="M173" s="15" t="inlineStr">
        <is>
          <t>Mở</t>
        </is>
      </c>
      <c r="N173" s="15" t="n"/>
      <c r="O173" s="15">
        <f>IF(OR(B173="",L173=""),"",B173+IF(L173="P0",0,IF(L173="P1",7,IF(L173="P2",30,90))))</f>
        <v/>
      </c>
      <c r="P173" s="15" t="n"/>
      <c r="Q173" s="15">
        <f>IF(B173="","",IF(P173&lt;&gt;"",P173-B173,TODAY()-B173))</f>
        <v/>
      </c>
      <c r="R173" s="15" t="n"/>
    </row>
    <row r="174">
      <c r="A174" s="15" t="n"/>
      <c r="B174" s="15" t="n"/>
      <c r="C174" s="15" t="n"/>
      <c r="D174" s="15" t="n"/>
      <c r="E174" s="15" t="n"/>
      <c r="F174" s="15" t="n"/>
      <c r="G174" s="15" t="n"/>
      <c r="H174" s="15" t="n"/>
      <c r="I174" s="15" t="n"/>
      <c r="J174" s="15" t="inlineStr">
        <is>
          <t>Không</t>
        </is>
      </c>
      <c r="K174" s="15" t="n"/>
      <c r="L174" s="15" t="n"/>
      <c r="M174" s="15" t="inlineStr">
        <is>
          <t>Mở</t>
        </is>
      </c>
      <c r="N174" s="15" t="n"/>
      <c r="O174" s="15">
        <f>IF(OR(B174="",L174=""),"",B174+IF(L174="P0",0,IF(L174="P1",7,IF(L174="P2",30,90))))</f>
        <v/>
      </c>
      <c r="P174" s="15" t="n"/>
      <c r="Q174" s="15">
        <f>IF(B174="","",IF(P174&lt;&gt;"",P174-B174,TODAY()-B174))</f>
        <v/>
      </c>
      <c r="R174" s="15" t="n"/>
    </row>
    <row r="175">
      <c r="A175" s="15" t="n"/>
      <c r="B175" s="15" t="n"/>
      <c r="C175" s="15" t="n"/>
      <c r="D175" s="15" t="n"/>
      <c r="E175" s="15" t="n"/>
      <c r="F175" s="15" t="n"/>
      <c r="G175" s="15" t="n"/>
      <c r="H175" s="15" t="n"/>
      <c r="I175" s="15" t="n"/>
      <c r="J175" s="15" t="inlineStr">
        <is>
          <t>Không</t>
        </is>
      </c>
      <c r="K175" s="15" t="n"/>
      <c r="L175" s="15" t="n"/>
      <c r="M175" s="15" t="inlineStr">
        <is>
          <t>Mở</t>
        </is>
      </c>
      <c r="N175" s="15" t="n"/>
      <c r="O175" s="15">
        <f>IF(OR(B175="",L175=""),"",B175+IF(L175="P0",0,IF(L175="P1",7,IF(L175="P2",30,90))))</f>
        <v/>
      </c>
      <c r="P175" s="15" t="n"/>
      <c r="Q175" s="15">
        <f>IF(B175="","",IF(P175&lt;&gt;"",P175-B175,TODAY()-B175))</f>
        <v/>
      </c>
      <c r="R175" s="15" t="n"/>
    </row>
    <row r="176">
      <c r="A176" s="15" t="n"/>
      <c r="B176" s="15" t="n"/>
      <c r="C176" s="15" t="n"/>
      <c r="D176" s="15" t="n"/>
      <c r="E176" s="15" t="n"/>
      <c r="F176" s="15" t="n"/>
      <c r="G176" s="15" t="n"/>
      <c r="H176" s="15" t="n"/>
      <c r="I176" s="15" t="n"/>
      <c r="J176" s="15" t="inlineStr">
        <is>
          <t>Không</t>
        </is>
      </c>
      <c r="K176" s="15" t="n"/>
      <c r="L176" s="15" t="n"/>
      <c r="M176" s="15" t="inlineStr">
        <is>
          <t>Mở</t>
        </is>
      </c>
      <c r="N176" s="15" t="n"/>
      <c r="O176" s="15">
        <f>IF(OR(B176="",L176=""),"",B176+IF(L176="P0",0,IF(L176="P1",7,IF(L176="P2",30,90))))</f>
        <v/>
      </c>
      <c r="P176" s="15" t="n"/>
      <c r="Q176" s="15">
        <f>IF(B176="","",IF(P176&lt;&gt;"",P176-B176,TODAY()-B176))</f>
        <v/>
      </c>
      <c r="R176" s="15" t="n"/>
    </row>
    <row r="177">
      <c r="A177" s="15" t="n"/>
      <c r="B177" s="15" t="n"/>
      <c r="C177" s="15" t="n"/>
      <c r="D177" s="15" t="n"/>
      <c r="E177" s="15" t="n"/>
      <c r="F177" s="15" t="n"/>
      <c r="G177" s="15" t="n"/>
      <c r="H177" s="15" t="n"/>
      <c r="I177" s="15" t="n"/>
      <c r="J177" s="15" t="inlineStr">
        <is>
          <t>Không</t>
        </is>
      </c>
      <c r="K177" s="15" t="n"/>
      <c r="L177" s="15" t="n"/>
      <c r="M177" s="15" t="inlineStr">
        <is>
          <t>Mở</t>
        </is>
      </c>
      <c r="N177" s="15" t="n"/>
      <c r="O177" s="15">
        <f>IF(OR(B177="",L177=""),"",B177+IF(L177="P0",0,IF(L177="P1",7,IF(L177="P2",30,90))))</f>
        <v/>
      </c>
      <c r="P177" s="15" t="n"/>
      <c r="Q177" s="15">
        <f>IF(B177="","",IF(P177&lt;&gt;"",P177-B177,TODAY()-B177))</f>
        <v/>
      </c>
      <c r="R177" s="15" t="n"/>
    </row>
    <row r="178">
      <c r="A178" s="15" t="n"/>
      <c r="B178" s="15" t="n"/>
      <c r="C178" s="15" t="n"/>
      <c r="D178" s="15" t="n"/>
      <c r="E178" s="15" t="n"/>
      <c r="F178" s="15" t="n"/>
      <c r="G178" s="15" t="n"/>
      <c r="H178" s="15" t="n"/>
      <c r="I178" s="15" t="n"/>
      <c r="J178" s="15" t="inlineStr">
        <is>
          <t>Không</t>
        </is>
      </c>
      <c r="K178" s="15" t="n"/>
      <c r="L178" s="15" t="n"/>
      <c r="M178" s="15" t="inlineStr">
        <is>
          <t>Mở</t>
        </is>
      </c>
      <c r="N178" s="15" t="n"/>
      <c r="O178" s="15">
        <f>IF(OR(B178="",L178=""),"",B178+IF(L178="P0",0,IF(L178="P1",7,IF(L178="P2",30,90))))</f>
        <v/>
      </c>
      <c r="P178" s="15" t="n"/>
      <c r="Q178" s="15">
        <f>IF(B178="","",IF(P178&lt;&gt;"",P178-B178,TODAY()-B178))</f>
        <v/>
      </c>
      <c r="R178" s="15" t="n"/>
    </row>
    <row r="179">
      <c r="A179" s="15" t="n"/>
      <c r="B179" s="15" t="n"/>
      <c r="C179" s="15" t="n"/>
      <c r="D179" s="15" t="n"/>
      <c r="E179" s="15" t="n"/>
      <c r="F179" s="15" t="n"/>
      <c r="G179" s="15" t="n"/>
      <c r="H179" s="15" t="n"/>
      <c r="I179" s="15" t="n"/>
      <c r="J179" s="15" t="inlineStr">
        <is>
          <t>Không</t>
        </is>
      </c>
      <c r="K179" s="15" t="n"/>
      <c r="L179" s="15" t="n"/>
      <c r="M179" s="15" t="inlineStr">
        <is>
          <t>Mở</t>
        </is>
      </c>
      <c r="N179" s="15" t="n"/>
      <c r="O179" s="15">
        <f>IF(OR(B179="",L179=""),"",B179+IF(L179="P0",0,IF(L179="P1",7,IF(L179="P2",30,90))))</f>
        <v/>
      </c>
      <c r="P179" s="15" t="n"/>
      <c r="Q179" s="15">
        <f>IF(B179="","",IF(P179&lt;&gt;"",P179-B179,TODAY()-B179))</f>
        <v/>
      </c>
      <c r="R179" s="15" t="n"/>
    </row>
    <row r="180">
      <c r="A180" s="15" t="n"/>
      <c r="B180" s="15" t="n"/>
      <c r="C180" s="15" t="n"/>
      <c r="D180" s="15" t="n"/>
      <c r="E180" s="15" t="n"/>
      <c r="F180" s="15" t="n"/>
      <c r="G180" s="15" t="n"/>
      <c r="H180" s="15" t="n"/>
      <c r="I180" s="15" t="n"/>
      <c r="J180" s="15" t="inlineStr">
        <is>
          <t>Không</t>
        </is>
      </c>
      <c r="K180" s="15" t="n"/>
      <c r="L180" s="15" t="n"/>
      <c r="M180" s="15" t="inlineStr">
        <is>
          <t>Mở</t>
        </is>
      </c>
      <c r="N180" s="15" t="n"/>
      <c r="O180" s="15">
        <f>IF(OR(B180="",L180=""),"",B180+IF(L180="P0",0,IF(L180="P1",7,IF(L180="P2",30,90))))</f>
        <v/>
      </c>
      <c r="P180" s="15" t="n"/>
      <c r="Q180" s="15">
        <f>IF(B180="","",IF(P180&lt;&gt;"",P180-B180,TODAY()-B180))</f>
        <v/>
      </c>
      <c r="R180" s="15" t="n"/>
    </row>
    <row r="181">
      <c r="A181" s="15" t="n"/>
      <c r="B181" s="15" t="n"/>
      <c r="C181" s="15" t="n"/>
      <c r="D181" s="15" t="n"/>
      <c r="E181" s="15" t="n"/>
      <c r="F181" s="15" t="n"/>
      <c r="G181" s="15" t="n"/>
      <c r="H181" s="15" t="n"/>
      <c r="I181" s="15" t="n"/>
      <c r="J181" s="15" t="inlineStr">
        <is>
          <t>Không</t>
        </is>
      </c>
      <c r="K181" s="15" t="n"/>
      <c r="L181" s="15" t="n"/>
      <c r="M181" s="15" t="inlineStr">
        <is>
          <t>Mở</t>
        </is>
      </c>
      <c r="N181" s="15" t="n"/>
      <c r="O181" s="15">
        <f>IF(OR(B181="",L181=""),"",B181+IF(L181="P0",0,IF(L181="P1",7,IF(L181="P2",30,90))))</f>
        <v/>
      </c>
      <c r="P181" s="15" t="n"/>
      <c r="Q181" s="15">
        <f>IF(B181="","",IF(P181&lt;&gt;"",P181-B181,TODAY()-B181))</f>
        <v/>
      </c>
      <c r="R181" s="15" t="n"/>
    </row>
    <row r="182">
      <c r="A182" s="15" t="n"/>
      <c r="B182" s="15" t="n"/>
      <c r="C182" s="15" t="n"/>
      <c r="D182" s="15" t="n"/>
      <c r="E182" s="15" t="n"/>
      <c r="F182" s="15" t="n"/>
      <c r="G182" s="15" t="n"/>
      <c r="H182" s="15" t="n"/>
      <c r="I182" s="15" t="n"/>
      <c r="J182" s="15" t="inlineStr">
        <is>
          <t>Không</t>
        </is>
      </c>
      <c r="K182" s="15" t="n"/>
      <c r="L182" s="15" t="n"/>
      <c r="M182" s="15" t="inlineStr">
        <is>
          <t>Mở</t>
        </is>
      </c>
      <c r="N182" s="15" t="n"/>
      <c r="O182" s="15">
        <f>IF(OR(B182="",L182=""),"",B182+IF(L182="P0",0,IF(L182="P1",7,IF(L182="P2",30,90))))</f>
        <v/>
      </c>
      <c r="P182" s="15" t="n"/>
      <c r="Q182" s="15">
        <f>IF(B182="","",IF(P182&lt;&gt;"",P182-B182,TODAY()-B182))</f>
        <v/>
      </c>
      <c r="R182" s="15" t="n"/>
    </row>
    <row r="183">
      <c r="A183" s="15" t="n"/>
      <c r="B183" s="15" t="n"/>
      <c r="C183" s="15" t="n"/>
      <c r="D183" s="15" t="n"/>
      <c r="E183" s="15" t="n"/>
      <c r="F183" s="15" t="n"/>
      <c r="G183" s="15" t="n"/>
      <c r="H183" s="15" t="n"/>
      <c r="I183" s="15" t="n"/>
      <c r="J183" s="15" t="inlineStr">
        <is>
          <t>Không</t>
        </is>
      </c>
      <c r="K183" s="15" t="n"/>
      <c r="L183" s="15" t="n"/>
      <c r="M183" s="15" t="inlineStr">
        <is>
          <t>Mở</t>
        </is>
      </c>
      <c r="N183" s="15" t="n"/>
      <c r="O183" s="15">
        <f>IF(OR(B183="",L183=""),"",B183+IF(L183="P0",0,IF(L183="P1",7,IF(L183="P2",30,90))))</f>
        <v/>
      </c>
      <c r="P183" s="15" t="n"/>
      <c r="Q183" s="15">
        <f>IF(B183="","",IF(P183&lt;&gt;"",P183-B183,TODAY()-B183))</f>
        <v/>
      </c>
      <c r="R183" s="15" t="n"/>
    </row>
    <row r="184">
      <c r="A184" s="15" t="n"/>
      <c r="B184" s="15" t="n"/>
      <c r="C184" s="15" t="n"/>
      <c r="D184" s="15" t="n"/>
      <c r="E184" s="15" t="n"/>
      <c r="F184" s="15" t="n"/>
      <c r="G184" s="15" t="n"/>
      <c r="H184" s="15" t="n"/>
      <c r="I184" s="15" t="n"/>
      <c r="J184" s="15" t="inlineStr">
        <is>
          <t>Không</t>
        </is>
      </c>
      <c r="K184" s="15" t="n"/>
      <c r="L184" s="15" t="n"/>
      <c r="M184" s="15" t="inlineStr">
        <is>
          <t>Mở</t>
        </is>
      </c>
      <c r="N184" s="15" t="n"/>
      <c r="O184" s="15">
        <f>IF(OR(B184="",L184=""),"",B184+IF(L184="P0",0,IF(L184="P1",7,IF(L184="P2",30,90))))</f>
        <v/>
      </c>
      <c r="P184" s="15" t="n"/>
      <c r="Q184" s="15">
        <f>IF(B184="","",IF(P184&lt;&gt;"",P184-B184,TODAY()-B184))</f>
        <v/>
      </c>
      <c r="R184" s="15" t="n"/>
    </row>
    <row r="185">
      <c r="A185" s="15" t="n"/>
      <c r="B185" s="15" t="n"/>
      <c r="C185" s="15" t="n"/>
      <c r="D185" s="15" t="n"/>
      <c r="E185" s="15" t="n"/>
      <c r="F185" s="15" t="n"/>
      <c r="G185" s="15" t="n"/>
      <c r="H185" s="15" t="n"/>
      <c r="I185" s="15" t="n"/>
      <c r="J185" s="15" t="inlineStr">
        <is>
          <t>Không</t>
        </is>
      </c>
      <c r="K185" s="15" t="n"/>
      <c r="L185" s="15" t="n"/>
      <c r="M185" s="15" t="inlineStr">
        <is>
          <t>Mở</t>
        </is>
      </c>
      <c r="N185" s="15" t="n"/>
      <c r="O185" s="15">
        <f>IF(OR(B185="",L185=""),"",B185+IF(L185="P0",0,IF(L185="P1",7,IF(L185="P2",30,90))))</f>
        <v/>
      </c>
      <c r="P185" s="15" t="n"/>
      <c r="Q185" s="15">
        <f>IF(B185="","",IF(P185&lt;&gt;"",P185-B185,TODAY()-B185))</f>
        <v/>
      </c>
      <c r="R185" s="15" t="n"/>
    </row>
    <row r="186">
      <c r="A186" s="15" t="n"/>
      <c r="B186" s="15" t="n"/>
      <c r="C186" s="15" t="n"/>
      <c r="D186" s="15" t="n"/>
      <c r="E186" s="15" t="n"/>
      <c r="F186" s="15" t="n"/>
      <c r="G186" s="15" t="n"/>
      <c r="H186" s="15" t="n"/>
      <c r="I186" s="15" t="n"/>
      <c r="J186" s="15" t="inlineStr">
        <is>
          <t>Không</t>
        </is>
      </c>
      <c r="K186" s="15" t="n"/>
      <c r="L186" s="15" t="n"/>
      <c r="M186" s="15" t="inlineStr">
        <is>
          <t>Mở</t>
        </is>
      </c>
      <c r="N186" s="15" t="n"/>
      <c r="O186" s="15">
        <f>IF(OR(B186="",L186=""),"",B186+IF(L186="P0",0,IF(L186="P1",7,IF(L186="P2",30,90))))</f>
        <v/>
      </c>
      <c r="P186" s="15" t="n"/>
      <c r="Q186" s="15">
        <f>IF(B186="","",IF(P186&lt;&gt;"",P186-B186,TODAY()-B186))</f>
        <v/>
      </c>
      <c r="R186" s="15" t="n"/>
    </row>
    <row r="187">
      <c r="A187" s="15" t="n"/>
      <c r="B187" s="15" t="n"/>
      <c r="C187" s="15" t="n"/>
      <c r="D187" s="15" t="n"/>
      <c r="E187" s="15" t="n"/>
      <c r="F187" s="15" t="n"/>
      <c r="G187" s="15" t="n"/>
      <c r="H187" s="15" t="n"/>
      <c r="I187" s="15" t="n"/>
      <c r="J187" s="15" t="inlineStr">
        <is>
          <t>Không</t>
        </is>
      </c>
      <c r="K187" s="15" t="n"/>
      <c r="L187" s="15" t="n"/>
      <c r="M187" s="15" t="inlineStr">
        <is>
          <t>Mở</t>
        </is>
      </c>
      <c r="N187" s="15" t="n"/>
      <c r="O187" s="15">
        <f>IF(OR(B187="",L187=""),"",B187+IF(L187="P0",0,IF(L187="P1",7,IF(L187="P2",30,90))))</f>
        <v/>
      </c>
      <c r="P187" s="15" t="n"/>
      <c r="Q187" s="15">
        <f>IF(B187="","",IF(P187&lt;&gt;"",P187-B187,TODAY()-B187))</f>
        <v/>
      </c>
      <c r="R187" s="15" t="n"/>
    </row>
    <row r="188">
      <c r="A188" s="15" t="n"/>
      <c r="B188" s="15" t="n"/>
      <c r="C188" s="15" t="n"/>
      <c r="D188" s="15" t="n"/>
      <c r="E188" s="15" t="n"/>
      <c r="F188" s="15" t="n"/>
      <c r="G188" s="15" t="n"/>
      <c r="H188" s="15" t="n"/>
      <c r="I188" s="15" t="n"/>
      <c r="J188" s="15" t="inlineStr">
        <is>
          <t>Không</t>
        </is>
      </c>
      <c r="K188" s="15" t="n"/>
      <c r="L188" s="15" t="n"/>
      <c r="M188" s="15" t="inlineStr">
        <is>
          <t>Mở</t>
        </is>
      </c>
      <c r="N188" s="15" t="n"/>
      <c r="O188" s="15">
        <f>IF(OR(B188="",L188=""),"",B188+IF(L188="P0",0,IF(L188="P1",7,IF(L188="P2",30,90))))</f>
        <v/>
      </c>
      <c r="P188" s="15" t="n"/>
      <c r="Q188" s="15">
        <f>IF(B188="","",IF(P188&lt;&gt;"",P188-B188,TODAY()-B188))</f>
        <v/>
      </c>
      <c r="R188" s="15" t="n"/>
    </row>
    <row r="189">
      <c r="A189" s="15" t="n"/>
      <c r="B189" s="15" t="n"/>
      <c r="C189" s="15" t="n"/>
      <c r="D189" s="15" t="n"/>
      <c r="E189" s="15" t="n"/>
      <c r="F189" s="15" t="n"/>
      <c r="G189" s="15" t="n"/>
      <c r="H189" s="15" t="n"/>
      <c r="I189" s="15" t="n"/>
      <c r="J189" s="15" t="inlineStr">
        <is>
          <t>Không</t>
        </is>
      </c>
      <c r="K189" s="15" t="n"/>
      <c r="L189" s="15" t="n"/>
      <c r="M189" s="15" t="inlineStr">
        <is>
          <t>Mở</t>
        </is>
      </c>
      <c r="N189" s="15" t="n"/>
      <c r="O189" s="15">
        <f>IF(OR(B189="",L189=""),"",B189+IF(L189="P0",0,IF(L189="P1",7,IF(L189="P2",30,90))))</f>
        <v/>
      </c>
      <c r="P189" s="15" t="n"/>
      <c r="Q189" s="15">
        <f>IF(B189="","",IF(P189&lt;&gt;"",P189-B189,TODAY()-B189))</f>
        <v/>
      </c>
      <c r="R189" s="15" t="n"/>
    </row>
    <row r="190">
      <c r="A190" s="15" t="n"/>
      <c r="B190" s="15" t="n"/>
      <c r="C190" s="15" t="n"/>
      <c r="D190" s="15" t="n"/>
      <c r="E190" s="15" t="n"/>
      <c r="F190" s="15" t="n"/>
      <c r="G190" s="15" t="n"/>
      <c r="H190" s="15" t="n"/>
      <c r="I190" s="15" t="n"/>
      <c r="J190" s="15" t="inlineStr">
        <is>
          <t>Không</t>
        </is>
      </c>
      <c r="K190" s="15" t="n"/>
      <c r="L190" s="15" t="n"/>
      <c r="M190" s="15" t="inlineStr">
        <is>
          <t>Mở</t>
        </is>
      </c>
      <c r="N190" s="15" t="n"/>
      <c r="O190" s="15">
        <f>IF(OR(B190="",L190=""),"",B190+IF(L190="P0",0,IF(L190="P1",7,IF(L190="P2",30,90))))</f>
        <v/>
      </c>
      <c r="P190" s="15" t="n"/>
      <c r="Q190" s="15">
        <f>IF(B190="","",IF(P190&lt;&gt;"",P190-B190,TODAY()-B190))</f>
        <v/>
      </c>
      <c r="R190" s="15" t="n"/>
    </row>
    <row r="191">
      <c r="A191" s="15" t="n"/>
      <c r="B191" s="15" t="n"/>
      <c r="C191" s="15" t="n"/>
      <c r="D191" s="15" t="n"/>
      <c r="E191" s="15" t="n"/>
      <c r="F191" s="15" t="n"/>
      <c r="G191" s="15" t="n"/>
      <c r="H191" s="15" t="n"/>
      <c r="I191" s="15" t="n"/>
      <c r="J191" s="15" t="inlineStr">
        <is>
          <t>Không</t>
        </is>
      </c>
      <c r="K191" s="15" t="n"/>
      <c r="L191" s="15" t="n"/>
      <c r="M191" s="15" t="inlineStr">
        <is>
          <t>Mở</t>
        </is>
      </c>
      <c r="N191" s="15" t="n"/>
      <c r="O191" s="15">
        <f>IF(OR(B191="",L191=""),"",B191+IF(L191="P0",0,IF(L191="P1",7,IF(L191="P2",30,90))))</f>
        <v/>
      </c>
      <c r="P191" s="15" t="n"/>
      <c r="Q191" s="15">
        <f>IF(B191="","",IF(P191&lt;&gt;"",P191-B191,TODAY()-B191))</f>
        <v/>
      </c>
      <c r="R191" s="15" t="n"/>
    </row>
    <row r="192">
      <c r="A192" s="15" t="n"/>
      <c r="B192" s="15" t="n"/>
      <c r="C192" s="15" t="n"/>
      <c r="D192" s="15" t="n"/>
      <c r="E192" s="15" t="n"/>
      <c r="F192" s="15" t="n"/>
      <c r="G192" s="15" t="n"/>
      <c r="H192" s="15" t="n"/>
      <c r="I192" s="15" t="n"/>
      <c r="J192" s="15" t="inlineStr">
        <is>
          <t>Không</t>
        </is>
      </c>
      <c r="K192" s="15" t="n"/>
      <c r="L192" s="15" t="n"/>
      <c r="M192" s="15" t="inlineStr">
        <is>
          <t>Mở</t>
        </is>
      </c>
      <c r="N192" s="15" t="n"/>
      <c r="O192" s="15">
        <f>IF(OR(B192="",L192=""),"",B192+IF(L192="P0",0,IF(L192="P1",7,IF(L192="P2",30,90))))</f>
        <v/>
      </c>
      <c r="P192" s="15" t="n"/>
      <c r="Q192" s="15">
        <f>IF(B192="","",IF(P192&lt;&gt;"",P192-B192,TODAY()-B192))</f>
        <v/>
      </c>
      <c r="R192" s="15" t="n"/>
    </row>
    <row r="193">
      <c r="A193" s="15" t="n"/>
      <c r="B193" s="15" t="n"/>
      <c r="C193" s="15" t="n"/>
      <c r="D193" s="15" t="n"/>
      <c r="E193" s="15" t="n"/>
      <c r="F193" s="15" t="n"/>
      <c r="G193" s="15" t="n"/>
      <c r="H193" s="15" t="n"/>
      <c r="I193" s="15" t="n"/>
      <c r="J193" s="15" t="inlineStr">
        <is>
          <t>Không</t>
        </is>
      </c>
      <c r="K193" s="15" t="n"/>
      <c r="L193" s="15" t="n"/>
      <c r="M193" s="15" t="inlineStr">
        <is>
          <t>Mở</t>
        </is>
      </c>
      <c r="N193" s="15" t="n"/>
      <c r="O193" s="15">
        <f>IF(OR(B193="",L193=""),"",B193+IF(L193="P0",0,IF(L193="P1",7,IF(L193="P2",30,90))))</f>
        <v/>
      </c>
      <c r="P193" s="15" t="n"/>
      <c r="Q193" s="15">
        <f>IF(B193="","",IF(P193&lt;&gt;"",P193-B193,TODAY()-B193))</f>
        <v/>
      </c>
      <c r="R193" s="15" t="n"/>
    </row>
    <row r="194">
      <c r="A194" s="15" t="n"/>
      <c r="B194" s="15" t="n"/>
      <c r="C194" s="15" t="n"/>
      <c r="D194" s="15" t="n"/>
      <c r="E194" s="15" t="n"/>
      <c r="F194" s="15" t="n"/>
      <c r="G194" s="15" t="n"/>
      <c r="H194" s="15" t="n"/>
      <c r="I194" s="15" t="n"/>
      <c r="J194" s="15" t="inlineStr">
        <is>
          <t>Không</t>
        </is>
      </c>
      <c r="K194" s="15" t="n"/>
      <c r="L194" s="15" t="n"/>
      <c r="M194" s="15" t="inlineStr">
        <is>
          <t>Mở</t>
        </is>
      </c>
      <c r="N194" s="15" t="n"/>
      <c r="O194" s="15">
        <f>IF(OR(B194="",L194=""),"",B194+IF(L194="P0",0,IF(L194="P1",7,IF(L194="P2",30,90))))</f>
        <v/>
      </c>
      <c r="P194" s="15" t="n"/>
      <c r="Q194" s="15">
        <f>IF(B194="","",IF(P194&lt;&gt;"",P194-B194,TODAY()-B194))</f>
        <v/>
      </c>
      <c r="R194" s="15" t="n"/>
    </row>
    <row r="195">
      <c r="A195" s="15" t="n"/>
      <c r="B195" s="15" t="n"/>
      <c r="C195" s="15" t="n"/>
      <c r="D195" s="15" t="n"/>
      <c r="E195" s="15" t="n"/>
      <c r="F195" s="15" t="n"/>
      <c r="G195" s="15" t="n"/>
      <c r="H195" s="15" t="n"/>
      <c r="I195" s="15" t="n"/>
      <c r="J195" s="15" t="inlineStr">
        <is>
          <t>Không</t>
        </is>
      </c>
      <c r="K195" s="15" t="n"/>
      <c r="L195" s="15" t="n"/>
      <c r="M195" s="15" t="inlineStr">
        <is>
          <t>Mở</t>
        </is>
      </c>
      <c r="N195" s="15" t="n"/>
      <c r="O195" s="15">
        <f>IF(OR(B195="",L195=""),"",B195+IF(L195="P0",0,IF(L195="P1",7,IF(L195="P2",30,90))))</f>
        <v/>
      </c>
      <c r="P195" s="15" t="n"/>
      <c r="Q195" s="15">
        <f>IF(B195="","",IF(P195&lt;&gt;"",P195-B195,TODAY()-B195))</f>
        <v/>
      </c>
      <c r="R195" s="15" t="n"/>
    </row>
    <row r="196">
      <c r="A196" s="15" t="n"/>
      <c r="B196" s="15" t="n"/>
      <c r="C196" s="15" t="n"/>
      <c r="D196" s="15" t="n"/>
      <c r="E196" s="15" t="n"/>
      <c r="F196" s="15" t="n"/>
      <c r="G196" s="15" t="n"/>
      <c r="H196" s="15" t="n"/>
      <c r="I196" s="15" t="n"/>
      <c r="J196" s="15" t="inlineStr">
        <is>
          <t>Không</t>
        </is>
      </c>
      <c r="K196" s="15" t="n"/>
      <c r="L196" s="15" t="n"/>
      <c r="M196" s="15" t="inlineStr">
        <is>
          <t>Mở</t>
        </is>
      </c>
      <c r="N196" s="15" t="n"/>
      <c r="O196" s="15">
        <f>IF(OR(B196="",L196=""),"",B196+IF(L196="P0",0,IF(L196="P1",7,IF(L196="P2",30,90))))</f>
        <v/>
      </c>
      <c r="P196" s="15" t="n"/>
      <c r="Q196" s="15">
        <f>IF(B196="","",IF(P196&lt;&gt;"",P196-B196,TODAY()-B196))</f>
        <v/>
      </c>
      <c r="R196" s="15" t="n"/>
    </row>
    <row r="197">
      <c r="A197" s="15" t="n"/>
      <c r="B197" s="15" t="n"/>
      <c r="C197" s="15" t="n"/>
      <c r="D197" s="15" t="n"/>
      <c r="E197" s="15" t="n"/>
      <c r="F197" s="15" t="n"/>
      <c r="G197" s="15" t="n"/>
      <c r="H197" s="15" t="n"/>
      <c r="I197" s="15" t="n"/>
      <c r="J197" s="15" t="inlineStr">
        <is>
          <t>Không</t>
        </is>
      </c>
      <c r="K197" s="15" t="n"/>
      <c r="L197" s="15" t="n"/>
      <c r="M197" s="15" t="inlineStr">
        <is>
          <t>Mở</t>
        </is>
      </c>
      <c r="N197" s="15" t="n"/>
      <c r="O197" s="15">
        <f>IF(OR(B197="",L197=""),"",B197+IF(L197="P0",0,IF(L197="P1",7,IF(L197="P2",30,90))))</f>
        <v/>
      </c>
      <c r="P197" s="15" t="n"/>
      <c r="Q197" s="15">
        <f>IF(B197="","",IF(P197&lt;&gt;"",P197-B197,TODAY()-B197))</f>
        <v/>
      </c>
      <c r="R197" s="15" t="n"/>
    </row>
    <row r="198">
      <c r="A198" s="15" t="n"/>
      <c r="B198" s="15" t="n"/>
      <c r="C198" s="15" t="n"/>
      <c r="D198" s="15" t="n"/>
      <c r="E198" s="15" t="n"/>
      <c r="F198" s="15" t="n"/>
      <c r="G198" s="15" t="n"/>
      <c r="H198" s="15" t="n"/>
      <c r="I198" s="15" t="n"/>
      <c r="J198" s="15" t="inlineStr">
        <is>
          <t>Không</t>
        </is>
      </c>
      <c r="K198" s="15" t="n"/>
      <c r="L198" s="15" t="n"/>
      <c r="M198" s="15" t="inlineStr">
        <is>
          <t>Mở</t>
        </is>
      </c>
      <c r="N198" s="15" t="n"/>
      <c r="O198" s="15">
        <f>IF(OR(B198="",L198=""),"",B198+IF(L198="P0",0,IF(L198="P1",7,IF(L198="P2",30,90))))</f>
        <v/>
      </c>
      <c r="P198" s="15" t="n"/>
      <c r="Q198" s="15">
        <f>IF(B198="","",IF(P198&lt;&gt;"",P198-B198,TODAY()-B198))</f>
        <v/>
      </c>
      <c r="R198" s="15" t="n"/>
    </row>
    <row r="199">
      <c r="A199" s="15" t="n"/>
      <c r="B199" s="15" t="n"/>
      <c r="C199" s="15" t="n"/>
      <c r="D199" s="15" t="n"/>
      <c r="E199" s="15" t="n"/>
      <c r="F199" s="15" t="n"/>
      <c r="G199" s="15" t="n"/>
      <c r="H199" s="15" t="n"/>
      <c r="I199" s="15" t="n"/>
      <c r="J199" s="15" t="inlineStr">
        <is>
          <t>Không</t>
        </is>
      </c>
      <c r="K199" s="15" t="n"/>
      <c r="L199" s="15" t="n"/>
      <c r="M199" s="15" t="inlineStr">
        <is>
          <t>Mở</t>
        </is>
      </c>
      <c r="N199" s="15" t="n"/>
      <c r="O199" s="15">
        <f>IF(OR(B199="",L199=""),"",B199+IF(L199="P0",0,IF(L199="P1",7,IF(L199="P2",30,90))))</f>
        <v/>
      </c>
      <c r="P199" s="15" t="n"/>
      <c r="Q199" s="15">
        <f>IF(B199="","",IF(P199&lt;&gt;"",P199-B199,TODAY()-B199))</f>
        <v/>
      </c>
      <c r="R199" s="15" t="n"/>
    </row>
    <row r="200">
      <c r="A200" s="15" t="n"/>
      <c r="B200" s="15" t="n"/>
      <c r="C200" s="15" t="n"/>
      <c r="D200" s="15" t="n"/>
      <c r="E200" s="15" t="n"/>
      <c r="F200" s="15" t="n"/>
      <c r="G200" s="15" t="n"/>
      <c r="H200" s="15" t="n"/>
      <c r="I200" s="15" t="n"/>
      <c r="J200" s="15" t="inlineStr">
        <is>
          <t>Không</t>
        </is>
      </c>
      <c r="K200" s="15" t="n"/>
      <c r="L200" s="15" t="n"/>
      <c r="M200" s="15" t="inlineStr">
        <is>
          <t>Mở</t>
        </is>
      </c>
      <c r="N200" s="15" t="n"/>
      <c r="O200" s="15">
        <f>IF(OR(B200="",L200=""),"",B200+IF(L200="P0",0,IF(L200="P1",7,IF(L200="P2",30,90))))</f>
        <v/>
      </c>
      <c r="P200" s="15" t="n"/>
      <c r="Q200" s="15">
        <f>IF(B200="","",IF(P200&lt;&gt;"",P200-B200,TODAY()-B200))</f>
        <v/>
      </c>
      <c r="R200" s="15" t="n"/>
    </row>
    <row r="201">
      <c r="A201" s="15" t="n"/>
      <c r="B201" s="15" t="n"/>
      <c r="C201" s="15" t="n"/>
      <c r="D201" s="15" t="n"/>
      <c r="E201" s="15" t="n"/>
      <c r="F201" s="15" t="n"/>
      <c r="G201" s="15" t="n"/>
      <c r="H201" s="15" t="n"/>
      <c r="I201" s="15" t="n"/>
      <c r="J201" s="15" t="inlineStr">
        <is>
          <t>Không</t>
        </is>
      </c>
      <c r="K201" s="15" t="n"/>
      <c r="L201" s="15" t="n"/>
      <c r="M201" s="15" t="inlineStr">
        <is>
          <t>Mở</t>
        </is>
      </c>
      <c r="N201" s="15" t="n"/>
      <c r="O201" s="15">
        <f>IF(OR(B201="",L201=""),"",B201+IF(L201="P0",0,IF(L201="P1",7,IF(L201="P2",30,90))))</f>
        <v/>
      </c>
      <c r="P201" s="15" t="n"/>
      <c r="Q201" s="15">
        <f>IF(B201="","",IF(P201&lt;&gt;"",P201-B201,TODAY()-B201))</f>
        <v/>
      </c>
      <c r="R201" s="15" t="n"/>
    </row>
    <row r="202">
      <c r="A202" s="15" t="n"/>
      <c r="B202" s="15" t="n"/>
      <c r="C202" s="15" t="n"/>
      <c r="D202" s="15" t="n"/>
      <c r="E202" s="15" t="n"/>
      <c r="F202" s="15" t="n"/>
      <c r="G202" s="15" t="n"/>
      <c r="H202" s="15" t="n"/>
      <c r="I202" s="15" t="n"/>
      <c r="J202" s="15" t="inlineStr">
        <is>
          <t>Không</t>
        </is>
      </c>
      <c r="K202" s="15" t="n"/>
      <c r="L202" s="15" t="n"/>
      <c r="M202" s="15" t="inlineStr">
        <is>
          <t>Mở</t>
        </is>
      </c>
      <c r="N202" s="15" t="n"/>
      <c r="O202" s="15">
        <f>IF(OR(B202="",L202=""),"",B202+IF(L202="P0",0,IF(L202="P1",7,IF(L202="P2",30,90))))</f>
        <v/>
      </c>
      <c r="P202" s="15" t="n"/>
      <c r="Q202" s="15">
        <f>IF(B202="","",IF(P202&lt;&gt;"",P202-B202,TODAY()-B202))</f>
        <v/>
      </c>
      <c r="R202" s="15" t="n"/>
    </row>
    <row r="203">
      <c r="A203" s="15" t="n"/>
      <c r="B203" s="15" t="n"/>
      <c r="C203" s="15" t="n"/>
      <c r="D203" s="15" t="n"/>
      <c r="E203" s="15" t="n"/>
      <c r="F203" s="15" t="n"/>
      <c r="G203" s="15" t="n"/>
      <c r="H203" s="15" t="n"/>
      <c r="I203" s="15" t="n"/>
      <c r="J203" s="15" t="inlineStr">
        <is>
          <t>Không</t>
        </is>
      </c>
      <c r="K203" s="15" t="n"/>
      <c r="L203" s="15" t="n"/>
      <c r="M203" s="15" t="inlineStr">
        <is>
          <t>Mở</t>
        </is>
      </c>
      <c r="N203" s="15" t="n"/>
      <c r="O203" s="15">
        <f>IF(OR(B203="",L203=""),"",B203+IF(L203="P0",0,IF(L203="P1",7,IF(L203="P2",30,90))))</f>
        <v/>
      </c>
      <c r="P203" s="15" t="n"/>
      <c r="Q203" s="15">
        <f>IF(B203="","",IF(P203&lt;&gt;"",P203-B203,TODAY()-B203))</f>
        <v/>
      </c>
      <c r="R203" s="15" t="n"/>
    </row>
    <row r="204">
      <c r="A204" s="15" t="n"/>
      <c r="B204" s="15" t="n"/>
      <c r="C204" s="15" t="n"/>
      <c r="D204" s="15" t="n"/>
      <c r="E204" s="15" t="n"/>
      <c r="F204" s="15" t="n"/>
      <c r="G204" s="15" t="n"/>
      <c r="H204" s="15" t="n"/>
      <c r="I204" s="15" t="n"/>
      <c r="J204" s="15" t="inlineStr">
        <is>
          <t>Không</t>
        </is>
      </c>
      <c r="K204" s="15" t="n"/>
      <c r="L204" s="15" t="n"/>
      <c r="M204" s="15" t="inlineStr">
        <is>
          <t>Mở</t>
        </is>
      </c>
      <c r="N204" s="15" t="n"/>
      <c r="O204" s="15">
        <f>IF(OR(B204="",L204=""),"",B204+IF(L204="P0",0,IF(L204="P1",7,IF(L204="P2",30,90))))</f>
        <v/>
      </c>
      <c r="P204" s="15" t="n"/>
      <c r="Q204" s="15">
        <f>IF(B204="","",IF(P204&lt;&gt;"",P204-B204,TODAY()-B204))</f>
        <v/>
      </c>
      <c r="R204" s="15" t="n"/>
    </row>
    <row r="205">
      <c r="A205" s="15" t="n"/>
      <c r="B205" s="15" t="n"/>
      <c r="C205" s="15" t="n"/>
      <c r="D205" s="15" t="n"/>
      <c r="E205" s="15" t="n"/>
      <c r="F205" s="15" t="n"/>
      <c r="G205" s="15" t="n"/>
      <c r="H205" s="15" t="n"/>
      <c r="I205" s="15" t="n"/>
      <c r="J205" s="15" t="inlineStr">
        <is>
          <t>Không</t>
        </is>
      </c>
      <c r="K205" s="15" t="n"/>
      <c r="L205" s="15" t="n"/>
      <c r="M205" s="15" t="inlineStr">
        <is>
          <t>Mở</t>
        </is>
      </c>
      <c r="N205" s="15" t="n"/>
      <c r="O205" s="15">
        <f>IF(OR(B205="",L205=""),"",B205+IF(L205="P0",0,IF(L205="P1",7,IF(L205="P2",30,90))))</f>
        <v/>
      </c>
      <c r="P205" s="15" t="n"/>
      <c r="Q205" s="15">
        <f>IF(B205="","",IF(P205&lt;&gt;"",P205-B205,TODAY()-B205))</f>
        <v/>
      </c>
      <c r="R205" s="15" t="n"/>
    </row>
    <row r="206">
      <c r="A206" s="15" t="n"/>
      <c r="B206" s="15" t="n"/>
      <c r="C206" s="15" t="n"/>
      <c r="D206" s="15" t="n"/>
      <c r="E206" s="15" t="n"/>
      <c r="F206" s="15" t="n"/>
      <c r="G206" s="15" t="n"/>
      <c r="H206" s="15" t="n"/>
      <c r="I206" s="15" t="n"/>
      <c r="J206" s="15" t="inlineStr">
        <is>
          <t>Không</t>
        </is>
      </c>
      <c r="K206" s="15" t="n"/>
      <c r="L206" s="15" t="n"/>
      <c r="M206" s="15" t="inlineStr">
        <is>
          <t>Mở</t>
        </is>
      </c>
      <c r="N206" s="15" t="n"/>
      <c r="O206" s="15">
        <f>IF(OR(B206="",L206=""),"",B206+IF(L206="P0",0,IF(L206="P1",7,IF(L206="P2",30,90))))</f>
        <v/>
      </c>
      <c r="P206" s="15" t="n"/>
      <c r="Q206" s="15">
        <f>IF(B206="","",IF(P206&lt;&gt;"",P206-B206,TODAY()-B206))</f>
        <v/>
      </c>
      <c r="R206" s="15" t="n"/>
    </row>
    <row r="207">
      <c r="A207" s="15" t="n"/>
      <c r="B207" s="15" t="n"/>
      <c r="C207" s="15" t="n"/>
      <c r="D207" s="15" t="n"/>
      <c r="E207" s="15" t="n"/>
      <c r="F207" s="15" t="n"/>
      <c r="G207" s="15" t="n"/>
      <c r="H207" s="15" t="n"/>
      <c r="I207" s="15" t="n"/>
      <c r="J207" s="15" t="inlineStr">
        <is>
          <t>Không</t>
        </is>
      </c>
      <c r="K207" s="15" t="n"/>
      <c r="L207" s="15" t="n"/>
      <c r="M207" s="15" t="inlineStr">
        <is>
          <t>Mở</t>
        </is>
      </c>
      <c r="N207" s="15" t="n"/>
      <c r="O207" s="15">
        <f>IF(OR(B207="",L207=""),"",B207+IF(L207="P0",0,IF(L207="P1",7,IF(L207="P2",30,90))))</f>
        <v/>
      </c>
      <c r="P207" s="15" t="n"/>
      <c r="Q207" s="15">
        <f>IF(B207="","",IF(P207&lt;&gt;"",P207-B207,TODAY()-B207))</f>
        <v/>
      </c>
      <c r="R207" s="15" t="n"/>
    </row>
    <row r="208">
      <c r="A208" s="15" t="n"/>
      <c r="B208" s="15" t="n"/>
      <c r="C208" s="15" t="n"/>
      <c r="D208" s="15" t="n"/>
      <c r="E208" s="15" t="n"/>
      <c r="F208" s="15" t="n"/>
      <c r="G208" s="15" t="n"/>
      <c r="H208" s="15" t="n"/>
      <c r="I208" s="15" t="n"/>
      <c r="J208" s="15" t="inlineStr">
        <is>
          <t>Không</t>
        </is>
      </c>
      <c r="K208" s="15" t="n"/>
      <c r="L208" s="15" t="n"/>
      <c r="M208" s="15" t="inlineStr">
        <is>
          <t>Mở</t>
        </is>
      </c>
      <c r="N208" s="15" t="n"/>
      <c r="O208" s="15">
        <f>IF(OR(B208="",L208=""),"",B208+IF(L208="P0",0,IF(L208="P1",7,IF(L208="P2",30,90))))</f>
        <v/>
      </c>
      <c r="P208" s="15" t="n"/>
      <c r="Q208" s="15">
        <f>IF(B208="","",IF(P208&lt;&gt;"",P208-B208,TODAY()-B208))</f>
        <v/>
      </c>
      <c r="R208" s="15" t="n"/>
    </row>
    <row r="209">
      <c r="A209" s="15" t="n"/>
      <c r="B209" s="15" t="n"/>
      <c r="C209" s="15" t="n"/>
      <c r="D209" s="15" t="n"/>
      <c r="E209" s="15" t="n"/>
      <c r="F209" s="15" t="n"/>
      <c r="G209" s="15" t="n"/>
      <c r="H209" s="15" t="n"/>
      <c r="I209" s="15" t="n"/>
      <c r="J209" s="15" t="inlineStr">
        <is>
          <t>Không</t>
        </is>
      </c>
      <c r="K209" s="15" t="n"/>
      <c r="L209" s="15" t="n"/>
      <c r="M209" s="15" t="inlineStr">
        <is>
          <t>Mở</t>
        </is>
      </c>
      <c r="N209" s="15" t="n"/>
      <c r="O209" s="15">
        <f>IF(OR(B209="",L209=""),"",B209+IF(L209="P0",0,IF(L209="P1",7,IF(L209="P2",30,90))))</f>
        <v/>
      </c>
      <c r="P209" s="15" t="n"/>
      <c r="Q209" s="15">
        <f>IF(B209="","",IF(P209&lt;&gt;"",P209-B209,TODAY()-B209))</f>
        <v/>
      </c>
      <c r="R209" s="15" t="n"/>
    </row>
    <row r="210">
      <c r="A210" s="15" t="n"/>
      <c r="B210" s="15" t="n"/>
      <c r="C210" s="15" t="n"/>
      <c r="D210" s="15" t="n"/>
      <c r="E210" s="15" t="n"/>
      <c r="F210" s="15" t="n"/>
      <c r="G210" s="15" t="n"/>
      <c r="H210" s="15" t="n"/>
      <c r="I210" s="15" t="n"/>
      <c r="J210" s="15" t="inlineStr">
        <is>
          <t>Không</t>
        </is>
      </c>
      <c r="K210" s="15" t="n"/>
      <c r="L210" s="15" t="n"/>
      <c r="M210" s="15" t="inlineStr">
        <is>
          <t>Mở</t>
        </is>
      </c>
      <c r="N210" s="15" t="n"/>
      <c r="O210" s="15">
        <f>IF(OR(B210="",L210=""),"",B210+IF(L210="P0",0,IF(L210="P1",7,IF(L210="P2",30,90))))</f>
        <v/>
      </c>
      <c r="P210" s="15" t="n"/>
      <c r="Q210" s="15">
        <f>IF(B210="","",IF(P210&lt;&gt;"",P210-B210,TODAY()-B210))</f>
        <v/>
      </c>
      <c r="R210" s="15" t="n"/>
    </row>
    <row r="211">
      <c r="A211" s="15" t="n"/>
      <c r="B211" s="15" t="n"/>
      <c r="C211" s="15" t="n"/>
      <c r="D211" s="15" t="n"/>
      <c r="E211" s="15" t="n"/>
      <c r="F211" s="15" t="n"/>
      <c r="G211" s="15" t="n"/>
      <c r="H211" s="15" t="n"/>
      <c r="I211" s="15" t="n"/>
      <c r="J211" s="15" t="inlineStr">
        <is>
          <t>Không</t>
        </is>
      </c>
      <c r="K211" s="15" t="n"/>
      <c r="L211" s="15" t="n"/>
      <c r="M211" s="15" t="inlineStr">
        <is>
          <t>Mở</t>
        </is>
      </c>
      <c r="N211" s="15" t="n"/>
      <c r="O211" s="15">
        <f>IF(OR(B211="",L211=""),"",B211+IF(L211="P0",0,IF(L211="P1",7,IF(L211="P2",30,90))))</f>
        <v/>
      </c>
      <c r="P211" s="15" t="n"/>
      <c r="Q211" s="15">
        <f>IF(B211="","",IF(P211&lt;&gt;"",P211-B211,TODAY()-B211))</f>
        <v/>
      </c>
      <c r="R211" s="15" t="n"/>
    </row>
    <row r="212">
      <c r="A212" s="15" t="n"/>
      <c r="B212" s="15" t="n"/>
      <c r="C212" s="15" t="n"/>
      <c r="D212" s="15" t="n"/>
      <c r="E212" s="15" t="n"/>
      <c r="F212" s="15" t="n"/>
      <c r="G212" s="15" t="n"/>
      <c r="H212" s="15" t="n"/>
      <c r="I212" s="15" t="n"/>
      <c r="J212" s="15" t="inlineStr">
        <is>
          <t>Không</t>
        </is>
      </c>
      <c r="K212" s="15" t="n"/>
      <c r="L212" s="15" t="n"/>
      <c r="M212" s="15" t="inlineStr">
        <is>
          <t>Mở</t>
        </is>
      </c>
      <c r="N212" s="15" t="n"/>
      <c r="O212" s="15">
        <f>IF(OR(B212="",L212=""),"",B212+IF(L212="P0",0,IF(L212="P1",7,IF(L212="P2",30,90))))</f>
        <v/>
      </c>
      <c r="P212" s="15" t="n"/>
      <c r="Q212" s="15">
        <f>IF(B212="","",IF(P212&lt;&gt;"",P212-B212,TODAY()-B212))</f>
        <v/>
      </c>
      <c r="R212" s="15" t="n"/>
    </row>
    <row r="213">
      <c r="A213" s="15" t="n"/>
      <c r="B213" s="15" t="n"/>
      <c r="C213" s="15" t="n"/>
      <c r="D213" s="15" t="n"/>
      <c r="E213" s="15" t="n"/>
      <c r="F213" s="15" t="n"/>
      <c r="G213" s="15" t="n"/>
      <c r="H213" s="15" t="n"/>
      <c r="I213" s="15" t="n"/>
      <c r="J213" s="15" t="inlineStr">
        <is>
          <t>Không</t>
        </is>
      </c>
      <c r="K213" s="15" t="n"/>
      <c r="L213" s="15" t="n"/>
      <c r="M213" s="15" t="inlineStr">
        <is>
          <t>Mở</t>
        </is>
      </c>
      <c r="N213" s="15" t="n"/>
      <c r="O213" s="15">
        <f>IF(OR(B213="",L213=""),"",B213+IF(L213="P0",0,IF(L213="P1",7,IF(L213="P2",30,90))))</f>
        <v/>
      </c>
      <c r="P213" s="15" t="n"/>
      <c r="Q213" s="15">
        <f>IF(B213="","",IF(P213&lt;&gt;"",P213-B213,TODAY()-B213))</f>
        <v/>
      </c>
      <c r="R213" s="15" t="n"/>
    </row>
    <row r="214">
      <c r="A214" s="15" t="n"/>
      <c r="B214" s="15" t="n"/>
      <c r="C214" s="15" t="n"/>
      <c r="D214" s="15" t="n"/>
      <c r="E214" s="15" t="n"/>
      <c r="F214" s="15" t="n"/>
      <c r="G214" s="15" t="n"/>
      <c r="H214" s="15" t="n"/>
      <c r="I214" s="15" t="n"/>
      <c r="J214" s="15" t="inlineStr">
        <is>
          <t>Không</t>
        </is>
      </c>
      <c r="K214" s="15" t="n"/>
      <c r="L214" s="15" t="n"/>
      <c r="M214" s="15" t="inlineStr">
        <is>
          <t>Mở</t>
        </is>
      </c>
      <c r="N214" s="15" t="n"/>
      <c r="O214" s="15">
        <f>IF(OR(B214="",L214=""),"",B214+IF(L214="P0",0,IF(L214="P1",7,IF(L214="P2",30,90))))</f>
        <v/>
      </c>
      <c r="P214" s="15" t="n"/>
      <c r="Q214" s="15">
        <f>IF(B214="","",IF(P214&lt;&gt;"",P214-B214,TODAY()-B214))</f>
        <v/>
      </c>
      <c r="R214" s="15" t="n"/>
    </row>
    <row r="215">
      <c r="A215" s="15" t="n"/>
      <c r="B215" s="15" t="n"/>
      <c r="C215" s="15" t="n"/>
      <c r="D215" s="15" t="n"/>
      <c r="E215" s="15" t="n"/>
      <c r="F215" s="15" t="n"/>
      <c r="G215" s="15" t="n"/>
      <c r="H215" s="15" t="n"/>
      <c r="I215" s="15" t="n"/>
      <c r="J215" s="15" t="inlineStr">
        <is>
          <t>Không</t>
        </is>
      </c>
      <c r="K215" s="15" t="n"/>
      <c r="L215" s="15" t="n"/>
      <c r="M215" s="15" t="inlineStr">
        <is>
          <t>Mở</t>
        </is>
      </c>
      <c r="N215" s="15" t="n"/>
      <c r="O215" s="15">
        <f>IF(OR(B215="",L215=""),"",B215+IF(L215="P0",0,IF(L215="P1",7,IF(L215="P2",30,90))))</f>
        <v/>
      </c>
      <c r="P215" s="15" t="n"/>
      <c r="Q215" s="15">
        <f>IF(B215="","",IF(P215&lt;&gt;"",P215-B215,TODAY()-B215))</f>
        <v/>
      </c>
      <c r="R215" s="15" t="n"/>
    </row>
    <row r="216">
      <c r="A216" s="15" t="n"/>
      <c r="B216" s="15" t="n"/>
      <c r="C216" s="15" t="n"/>
      <c r="D216" s="15" t="n"/>
      <c r="E216" s="15" t="n"/>
      <c r="F216" s="15" t="n"/>
      <c r="G216" s="15" t="n"/>
      <c r="H216" s="15" t="n"/>
      <c r="I216" s="15" t="n"/>
      <c r="J216" s="15" t="inlineStr">
        <is>
          <t>Không</t>
        </is>
      </c>
      <c r="K216" s="15" t="n"/>
      <c r="L216" s="15" t="n"/>
      <c r="M216" s="15" t="inlineStr">
        <is>
          <t>Mở</t>
        </is>
      </c>
      <c r="N216" s="15" t="n"/>
      <c r="O216" s="15">
        <f>IF(OR(B216="",L216=""),"",B216+IF(L216="P0",0,IF(L216="P1",7,IF(L216="P2",30,90))))</f>
        <v/>
      </c>
      <c r="P216" s="15" t="n"/>
      <c r="Q216" s="15">
        <f>IF(B216="","",IF(P216&lt;&gt;"",P216-B216,TODAY()-B216))</f>
        <v/>
      </c>
      <c r="R216" s="15" t="n"/>
    </row>
    <row r="217">
      <c r="A217" s="15" t="n"/>
      <c r="B217" s="15" t="n"/>
      <c r="C217" s="15" t="n"/>
      <c r="D217" s="15" t="n"/>
      <c r="E217" s="15" t="n"/>
      <c r="F217" s="15" t="n"/>
      <c r="G217" s="15" t="n"/>
      <c r="H217" s="15" t="n"/>
      <c r="I217" s="15" t="n"/>
      <c r="J217" s="15" t="inlineStr">
        <is>
          <t>Không</t>
        </is>
      </c>
      <c r="K217" s="15" t="n"/>
      <c r="L217" s="15" t="n"/>
      <c r="M217" s="15" t="inlineStr">
        <is>
          <t>Mở</t>
        </is>
      </c>
      <c r="N217" s="15" t="n"/>
      <c r="O217" s="15">
        <f>IF(OR(B217="",L217=""),"",B217+IF(L217="P0",0,IF(L217="P1",7,IF(L217="P2",30,90))))</f>
        <v/>
      </c>
      <c r="P217" s="15" t="n"/>
      <c r="Q217" s="15">
        <f>IF(B217="","",IF(P217&lt;&gt;"",P217-B217,TODAY()-B217))</f>
        <v/>
      </c>
      <c r="R217" s="15" t="n"/>
    </row>
    <row r="218">
      <c r="A218" s="15" t="n"/>
      <c r="B218" s="15" t="n"/>
      <c r="C218" s="15" t="n"/>
      <c r="D218" s="15" t="n"/>
      <c r="E218" s="15" t="n"/>
      <c r="F218" s="15" t="n"/>
      <c r="G218" s="15" t="n"/>
      <c r="H218" s="15" t="n"/>
      <c r="I218" s="15" t="n"/>
      <c r="J218" s="15" t="inlineStr">
        <is>
          <t>Không</t>
        </is>
      </c>
      <c r="K218" s="15" t="n"/>
      <c r="L218" s="15" t="n"/>
      <c r="M218" s="15" t="inlineStr">
        <is>
          <t>Mở</t>
        </is>
      </c>
      <c r="N218" s="15" t="n"/>
      <c r="O218" s="15">
        <f>IF(OR(B218="",L218=""),"",B218+IF(L218="P0",0,IF(L218="P1",7,IF(L218="P2",30,90))))</f>
        <v/>
      </c>
      <c r="P218" s="15" t="n"/>
      <c r="Q218" s="15">
        <f>IF(B218="","",IF(P218&lt;&gt;"",P218-B218,TODAY()-B218))</f>
        <v/>
      </c>
      <c r="R218" s="15" t="n"/>
    </row>
    <row r="219">
      <c r="A219" s="15" t="n"/>
      <c r="B219" s="15" t="n"/>
      <c r="C219" s="15" t="n"/>
      <c r="D219" s="15" t="n"/>
      <c r="E219" s="15" t="n"/>
      <c r="F219" s="15" t="n"/>
      <c r="G219" s="15" t="n"/>
      <c r="H219" s="15" t="n"/>
      <c r="I219" s="15" t="n"/>
      <c r="J219" s="15" t="inlineStr">
        <is>
          <t>Không</t>
        </is>
      </c>
      <c r="K219" s="15" t="n"/>
      <c r="L219" s="15" t="n"/>
      <c r="M219" s="15" t="inlineStr">
        <is>
          <t>Mở</t>
        </is>
      </c>
      <c r="N219" s="15" t="n"/>
      <c r="O219" s="15">
        <f>IF(OR(B219="",L219=""),"",B219+IF(L219="P0",0,IF(L219="P1",7,IF(L219="P2",30,90))))</f>
        <v/>
      </c>
      <c r="P219" s="15" t="n"/>
      <c r="Q219" s="15">
        <f>IF(B219="","",IF(P219&lt;&gt;"",P219-B219,TODAY()-B219))</f>
        <v/>
      </c>
      <c r="R219" s="15" t="n"/>
    </row>
    <row r="220">
      <c r="A220" s="15" t="n"/>
      <c r="B220" s="15" t="n"/>
      <c r="C220" s="15" t="n"/>
      <c r="D220" s="15" t="n"/>
      <c r="E220" s="15" t="n"/>
      <c r="F220" s="15" t="n"/>
      <c r="G220" s="15" t="n"/>
      <c r="H220" s="15" t="n"/>
      <c r="I220" s="15" t="n"/>
      <c r="J220" s="15" t="inlineStr">
        <is>
          <t>Không</t>
        </is>
      </c>
      <c r="K220" s="15" t="n"/>
      <c r="L220" s="15" t="n"/>
      <c r="M220" s="15" t="inlineStr">
        <is>
          <t>Mở</t>
        </is>
      </c>
      <c r="N220" s="15" t="n"/>
      <c r="O220" s="15">
        <f>IF(OR(B220="",L220=""),"",B220+IF(L220="P0",0,IF(L220="P1",7,IF(L220="P2",30,90))))</f>
        <v/>
      </c>
      <c r="P220" s="15" t="n"/>
      <c r="Q220" s="15">
        <f>IF(B220="","",IF(P220&lt;&gt;"",P220-B220,TODAY()-B220))</f>
        <v/>
      </c>
      <c r="R220" s="15" t="n"/>
    </row>
    <row r="221">
      <c r="A221" s="15" t="n"/>
      <c r="B221" s="15" t="n"/>
      <c r="C221" s="15" t="n"/>
      <c r="D221" s="15" t="n"/>
      <c r="E221" s="15" t="n"/>
      <c r="F221" s="15" t="n"/>
      <c r="G221" s="15" t="n"/>
      <c r="H221" s="15" t="n"/>
      <c r="I221" s="15" t="n"/>
      <c r="J221" s="15" t="inlineStr">
        <is>
          <t>Không</t>
        </is>
      </c>
      <c r="K221" s="15" t="n"/>
      <c r="L221" s="15" t="n"/>
      <c r="M221" s="15" t="inlineStr">
        <is>
          <t>Mở</t>
        </is>
      </c>
      <c r="N221" s="15" t="n"/>
      <c r="O221" s="15">
        <f>IF(OR(B221="",L221=""),"",B221+IF(L221="P0",0,IF(L221="P1",7,IF(L221="P2",30,90))))</f>
        <v/>
      </c>
      <c r="P221" s="15" t="n"/>
      <c r="Q221" s="15">
        <f>IF(B221="","",IF(P221&lt;&gt;"",P221-B221,TODAY()-B221))</f>
        <v/>
      </c>
      <c r="R221" s="15" t="n"/>
    </row>
    <row r="222">
      <c r="A222" s="15" t="n"/>
      <c r="B222" s="15" t="n"/>
      <c r="C222" s="15" t="n"/>
      <c r="D222" s="15" t="n"/>
      <c r="E222" s="15" t="n"/>
      <c r="F222" s="15" t="n"/>
      <c r="G222" s="15" t="n"/>
      <c r="H222" s="15" t="n"/>
      <c r="I222" s="15" t="n"/>
      <c r="J222" s="15" t="inlineStr">
        <is>
          <t>Không</t>
        </is>
      </c>
      <c r="K222" s="15" t="n"/>
      <c r="L222" s="15" t="n"/>
      <c r="M222" s="15" t="inlineStr">
        <is>
          <t>Mở</t>
        </is>
      </c>
      <c r="N222" s="15" t="n"/>
      <c r="O222" s="15">
        <f>IF(OR(B222="",L222=""),"",B222+IF(L222="P0",0,IF(L222="P1",7,IF(L222="P2",30,90))))</f>
        <v/>
      </c>
      <c r="P222" s="15" t="n"/>
      <c r="Q222" s="15">
        <f>IF(B222="","",IF(P222&lt;&gt;"",P222-B222,TODAY()-B222))</f>
        <v/>
      </c>
      <c r="R222" s="15" t="n"/>
    </row>
    <row r="223">
      <c r="A223" s="15" t="n"/>
      <c r="B223" s="15" t="n"/>
      <c r="C223" s="15" t="n"/>
      <c r="D223" s="15" t="n"/>
      <c r="E223" s="15" t="n"/>
      <c r="F223" s="15" t="n"/>
      <c r="G223" s="15" t="n"/>
      <c r="H223" s="15" t="n"/>
      <c r="I223" s="15" t="n"/>
      <c r="J223" s="15" t="inlineStr">
        <is>
          <t>Không</t>
        </is>
      </c>
      <c r="K223" s="15" t="n"/>
      <c r="L223" s="15" t="n"/>
      <c r="M223" s="15" t="inlineStr">
        <is>
          <t>Mở</t>
        </is>
      </c>
      <c r="N223" s="15" t="n"/>
      <c r="O223" s="15">
        <f>IF(OR(B223="",L223=""),"",B223+IF(L223="P0",0,IF(L223="P1",7,IF(L223="P2",30,90))))</f>
        <v/>
      </c>
      <c r="P223" s="15" t="n"/>
      <c r="Q223" s="15">
        <f>IF(B223="","",IF(P223&lt;&gt;"",P223-B223,TODAY()-B223))</f>
        <v/>
      </c>
      <c r="R223" s="15" t="n"/>
    </row>
    <row r="224">
      <c r="A224" s="15" t="n"/>
      <c r="B224" s="15" t="n"/>
      <c r="C224" s="15" t="n"/>
      <c r="D224" s="15" t="n"/>
      <c r="E224" s="15" t="n"/>
      <c r="F224" s="15" t="n"/>
      <c r="G224" s="15" t="n"/>
      <c r="H224" s="15" t="n"/>
      <c r="I224" s="15" t="n"/>
      <c r="J224" s="15" t="inlineStr">
        <is>
          <t>Không</t>
        </is>
      </c>
      <c r="K224" s="15" t="n"/>
      <c r="L224" s="15" t="n"/>
      <c r="M224" s="15" t="inlineStr">
        <is>
          <t>Mở</t>
        </is>
      </c>
      <c r="N224" s="15" t="n"/>
      <c r="O224" s="15">
        <f>IF(OR(B224="",L224=""),"",B224+IF(L224="P0",0,IF(L224="P1",7,IF(L224="P2",30,90))))</f>
        <v/>
      </c>
      <c r="P224" s="15" t="n"/>
      <c r="Q224" s="15">
        <f>IF(B224="","",IF(P224&lt;&gt;"",P224-B224,TODAY()-B224))</f>
        <v/>
      </c>
      <c r="R224" s="15" t="n"/>
    </row>
    <row r="225">
      <c r="A225" s="15" t="n"/>
      <c r="B225" s="15" t="n"/>
      <c r="C225" s="15" t="n"/>
      <c r="D225" s="15" t="n"/>
      <c r="E225" s="15" t="n"/>
      <c r="F225" s="15" t="n"/>
      <c r="G225" s="15" t="n"/>
      <c r="H225" s="15" t="n"/>
      <c r="I225" s="15" t="n"/>
      <c r="J225" s="15" t="inlineStr">
        <is>
          <t>Không</t>
        </is>
      </c>
      <c r="K225" s="15" t="n"/>
      <c r="L225" s="15" t="n"/>
      <c r="M225" s="15" t="inlineStr">
        <is>
          <t>Mở</t>
        </is>
      </c>
      <c r="N225" s="15" t="n"/>
      <c r="O225" s="15">
        <f>IF(OR(B225="",L225=""),"",B225+IF(L225="P0",0,IF(L225="P1",7,IF(L225="P2",30,90))))</f>
        <v/>
      </c>
      <c r="P225" s="15" t="n"/>
      <c r="Q225" s="15">
        <f>IF(B225="","",IF(P225&lt;&gt;"",P225-B225,TODAY()-B225))</f>
        <v/>
      </c>
      <c r="R225" s="15" t="n"/>
    </row>
    <row r="226">
      <c r="A226" s="15" t="n"/>
      <c r="B226" s="15" t="n"/>
      <c r="C226" s="15" t="n"/>
      <c r="D226" s="15" t="n"/>
      <c r="E226" s="15" t="n"/>
      <c r="F226" s="15" t="n"/>
      <c r="G226" s="15" t="n"/>
      <c r="H226" s="15" t="n"/>
      <c r="I226" s="15" t="n"/>
      <c r="J226" s="15" t="inlineStr">
        <is>
          <t>Không</t>
        </is>
      </c>
      <c r="K226" s="15" t="n"/>
      <c r="L226" s="15" t="n"/>
      <c r="M226" s="15" t="inlineStr">
        <is>
          <t>Mở</t>
        </is>
      </c>
      <c r="N226" s="15" t="n"/>
      <c r="O226" s="15">
        <f>IF(OR(B226="",L226=""),"",B226+IF(L226="P0",0,IF(L226="P1",7,IF(L226="P2",30,90))))</f>
        <v/>
      </c>
      <c r="P226" s="15" t="n"/>
      <c r="Q226" s="15">
        <f>IF(B226="","",IF(P226&lt;&gt;"",P226-B226,TODAY()-B226))</f>
        <v/>
      </c>
      <c r="R226" s="15" t="n"/>
    </row>
    <row r="227">
      <c r="A227" s="15" t="n"/>
      <c r="B227" s="15" t="n"/>
      <c r="C227" s="15" t="n"/>
      <c r="D227" s="15" t="n"/>
      <c r="E227" s="15" t="n"/>
      <c r="F227" s="15" t="n"/>
      <c r="G227" s="15" t="n"/>
      <c r="H227" s="15" t="n"/>
      <c r="I227" s="15" t="n"/>
      <c r="J227" s="15" t="inlineStr">
        <is>
          <t>Không</t>
        </is>
      </c>
      <c r="K227" s="15" t="n"/>
      <c r="L227" s="15" t="n"/>
      <c r="M227" s="15" t="inlineStr">
        <is>
          <t>Mở</t>
        </is>
      </c>
      <c r="N227" s="15" t="n"/>
      <c r="O227" s="15">
        <f>IF(OR(B227="",L227=""),"",B227+IF(L227="P0",0,IF(L227="P1",7,IF(L227="P2",30,90))))</f>
        <v/>
      </c>
      <c r="P227" s="15" t="n"/>
      <c r="Q227" s="15">
        <f>IF(B227="","",IF(P227&lt;&gt;"",P227-B227,TODAY()-B227))</f>
        <v/>
      </c>
      <c r="R227" s="15" t="n"/>
    </row>
    <row r="228">
      <c r="A228" s="15" t="n"/>
      <c r="B228" s="15" t="n"/>
      <c r="C228" s="15" t="n"/>
      <c r="D228" s="15" t="n"/>
      <c r="E228" s="15" t="n"/>
      <c r="F228" s="15" t="n"/>
      <c r="G228" s="15" t="n"/>
      <c r="H228" s="15" t="n"/>
      <c r="I228" s="15" t="n"/>
      <c r="J228" s="15" t="inlineStr">
        <is>
          <t>Không</t>
        </is>
      </c>
      <c r="K228" s="15" t="n"/>
      <c r="L228" s="15" t="n"/>
      <c r="M228" s="15" t="inlineStr">
        <is>
          <t>Mở</t>
        </is>
      </c>
      <c r="N228" s="15" t="n"/>
      <c r="O228" s="15">
        <f>IF(OR(B228="",L228=""),"",B228+IF(L228="P0",0,IF(L228="P1",7,IF(L228="P2",30,90))))</f>
        <v/>
      </c>
      <c r="P228" s="15" t="n"/>
      <c r="Q228" s="15">
        <f>IF(B228="","",IF(P228&lt;&gt;"",P228-B228,TODAY()-B228))</f>
        <v/>
      </c>
      <c r="R228" s="15" t="n"/>
    </row>
    <row r="229">
      <c r="A229" s="15" t="n"/>
      <c r="B229" s="15" t="n"/>
      <c r="C229" s="15" t="n"/>
      <c r="D229" s="15" t="n"/>
      <c r="E229" s="15" t="n"/>
      <c r="F229" s="15" t="n"/>
      <c r="G229" s="15" t="n"/>
      <c r="H229" s="15" t="n"/>
      <c r="I229" s="15" t="n"/>
      <c r="J229" s="15" t="inlineStr">
        <is>
          <t>Không</t>
        </is>
      </c>
      <c r="K229" s="15" t="n"/>
      <c r="L229" s="15" t="n"/>
      <c r="M229" s="15" t="inlineStr">
        <is>
          <t>Mở</t>
        </is>
      </c>
      <c r="N229" s="15" t="n"/>
      <c r="O229" s="15">
        <f>IF(OR(B229="",L229=""),"",B229+IF(L229="P0",0,IF(L229="P1",7,IF(L229="P2",30,90))))</f>
        <v/>
      </c>
      <c r="P229" s="15" t="n"/>
      <c r="Q229" s="15">
        <f>IF(B229="","",IF(P229&lt;&gt;"",P229-B229,TODAY()-B229))</f>
        <v/>
      </c>
      <c r="R229" s="15" t="n"/>
    </row>
    <row r="230">
      <c r="A230" s="15" t="n"/>
      <c r="B230" s="15" t="n"/>
      <c r="C230" s="15" t="n"/>
      <c r="D230" s="15" t="n"/>
      <c r="E230" s="15" t="n"/>
      <c r="F230" s="15" t="n"/>
      <c r="G230" s="15" t="n"/>
      <c r="H230" s="15" t="n"/>
      <c r="I230" s="15" t="n"/>
      <c r="J230" s="15" t="inlineStr">
        <is>
          <t>Không</t>
        </is>
      </c>
      <c r="K230" s="15" t="n"/>
      <c r="L230" s="15" t="n"/>
      <c r="M230" s="15" t="inlineStr">
        <is>
          <t>Mở</t>
        </is>
      </c>
      <c r="N230" s="15" t="n"/>
      <c r="O230" s="15">
        <f>IF(OR(B230="",L230=""),"",B230+IF(L230="P0",0,IF(L230="P1",7,IF(L230="P2",30,90))))</f>
        <v/>
      </c>
      <c r="P230" s="15" t="n"/>
      <c r="Q230" s="15">
        <f>IF(B230="","",IF(P230&lt;&gt;"",P230-B230,TODAY()-B230))</f>
        <v/>
      </c>
      <c r="R230" s="15" t="n"/>
    </row>
    <row r="231">
      <c r="A231" s="15" t="n"/>
      <c r="B231" s="15" t="n"/>
      <c r="C231" s="15" t="n"/>
      <c r="D231" s="15" t="n"/>
      <c r="E231" s="15" t="n"/>
      <c r="F231" s="15" t="n"/>
      <c r="G231" s="15" t="n"/>
      <c r="H231" s="15" t="n"/>
      <c r="I231" s="15" t="n"/>
      <c r="J231" s="15" t="inlineStr">
        <is>
          <t>Không</t>
        </is>
      </c>
      <c r="K231" s="15" t="n"/>
      <c r="L231" s="15" t="n"/>
      <c r="M231" s="15" t="inlineStr">
        <is>
          <t>Mở</t>
        </is>
      </c>
      <c r="N231" s="15" t="n"/>
      <c r="O231" s="15">
        <f>IF(OR(B231="",L231=""),"",B231+IF(L231="P0",0,IF(L231="P1",7,IF(L231="P2",30,90))))</f>
        <v/>
      </c>
      <c r="P231" s="15" t="n"/>
      <c r="Q231" s="15">
        <f>IF(B231="","",IF(P231&lt;&gt;"",P231-B231,TODAY()-B231))</f>
        <v/>
      </c>
      <c r="R231" s="15" t="n"/>
    </row>
    <row r="232">
      <c r="A232" s="15" t="n"/>
      <c r="B232" s="15" t="n"/>
      <c r="C232" s="15" t="n"/>
      <c r="D232" s="15" t="n"/>
      <c r="E232" s="15" t="n"/>
      <c r="F232" s="15" t="n"/>
      <c r="G232" s="15" t="n"/>
      <c r="H232" s="15" t="n"/>
      <c r="I232" s="15" t="n"/>
      <c r="J232" s="15" t="inlineStr">
        <is>
          <t>Không</t>
        </is>
      </c>
      <c r="K232" s="15" t="n"/>
      <c r="L232" s="15" t="n"/>
      <c r="M232" s="15" t="inlineStr">
        <is>
          <t>Mở</t>
        </is>
      </c>
      <c r="N232" s="15" t="n"/>
      <c r="O232" s="15">
        <f>IF(OR(B232="",L232=""),"",B232+IF(L232="P0",0,IF(L232="P1",7,IF(L232="P2",30,90))))</f>
        <v/>
      </c>
      <c r="P232" s="15" t="n"/>
      <c r="Q232" s="15">
        <f>IF(B232="","",IF(P232&lt;&gt;"",P232-B232,TODAY()-B232))</f>
        <v/>
      </c>
      <c r="R232" s="15" t="n"/>
    </row>
    <row r="233">
      <c r="A233" s="15" t="n"/>
      <c r="B233" s="15" t="n"/>
      <c r="C233" s="15" t="n"/>
      <c r="D233" s="15" t="n"/>
      <c r="E233" s="15" t="n"/>
      <c r="F233" s="15" t="n"/>
      <c r="G233" s="15" t="n"/>
      <c r="H233" s="15" t="n"/>
      <c r="I233" s="15" t="n"/>
      <c r="J233" s="15" t="inlineStr">
        <is>
          <t>Không</t>
        </is>
      </c>
      <c r="K233" s="15" t="n"/>
      <c r="L233" s="15" t="n"/>
      <c r="M233" s="15" t="inlineStr">
        <is>
          <t>Mở</t>
        </is>
      </c>
      <c r="N233" s="15" t="n"/>
      <c r="O233" s="15">
        <f>IF(OR(B233="",L233=""),"",B233+IF(L233="P0",0,IF(L233="P1",7,IF(L233="P2",30,90))))</f>
        <v/>
      </c>
      <c r="P233" s="15" t="n"/>
      <c r="Q233" s="15">
        <f>IF(B233="","",IF(P233&lt;&gt;"",P233-B233,TODAY()-B233))</f>
        <v/>
      </c>
      <c r="R233" s="15" t="n"/>
    </row>
    <row r="234">
      <c r="A234" s="15" t="n"/>
      <c r="B234" s="15" t="n"/>
      <c r="C234" s="15" t="n"/>
      <c r="D234" s="15" t="n"/>
      <c r="E234" s="15" t="n"/>
      <c r="F234" s="15" t="n"/>
      <c r="G234" s="15" t="n"/>
      <c r="H234" s="15" t="n"/>
      <c r="I234" s="15" t="n"/>
      <c r="J234" s="15" t="inlineStr">
        <is>
          <t>Không</t>
        </is>
      </c>
      <c r="K234" s="15" t="n"/>
      <c r="L234" s="15" t="n"/>
      <c r="M234" s="15" t="inlineStr">
        <is>
          <t>Mở</t>
        </is>
      </c>
      <c r="N234" s="15" t="n"/>
      <c r="O234" s="15">
        <f>IF(OR(B234="",L234=""),"",B234+IF(L234="P0",0,IF(L234="P1",7,IF(L234="P2",30,90))))</f>
        <v/>
      </c>
      <c r="P234" s="15" t="n"/>
      <c r="Q234" s="15">
        <f>IF(B234="","",IF(P234&lt;&gt;"",P234-B234,TODAY()-B234))</f>
        <v/>
      </c>
      <c r="R234" s="15" t="n"/>
    </row>
    <row r="235">
      <c r="A235" s="15" t="n"/>
      <c r="B235" s="15" t="n"/>
      <c r="C235" s="15" t="n"/>
      <c r="D235" s="15" t="n"/>
      <c r="E235" s="15" t="n"/>
      <c r="F235" s="15" t="n"/>
      <c r="G235" s="15" t="n"/>
      <c r="H235" s="15" t="n"/>
      <c r="I235" s="15" t="n"/>
      <c r="J235" s="15" t="inlineStr">
        <is>
          <t>Không</t>
        </is>
      </c>
      <c r="K235" s="15" t="n"/>
      <c r="L235" s="15" t="n"/>
      <c r="M235" s="15" t="inlineStr">
        <is>
          <t>Mở</t>
        </is>
      </c>
      <c r="N235" s="15" t="n"/>
      <c r="O235" s="15">
        <f>IF(OR(B235="",L235=""),"",B235+IF(L235="P0",0,IF(L235="P1",7,IF(L235="P2",30,90))))</f>
        <v/>
      </c>
      <c r="P235" s="15" t="n"/>
      <c r="Q235" s="15">
        <f>IF(B235="","",IF(P235&lt;&gt;"",P235-B235,TODAY()-B235))</f>
        <v/>
      </c>
      <c r="R235" s="15" t="n"/>
    </row>
    <row r="236">
      <c r="A236" s="15" t="n"/>
      <c r="B236" s="15" t="n"/>
      <c r="C236" s="15" t="n"/>
      <c r="D236" s="15" t="n"/>
      <c r="E236" s="15" t="n"/>
      <c r="F236" s="15" t="n"/>
      <c r="G236" s="15" t="n"/>
      <c r="H236" s="15" t="n"/>
      <c r="I236" s="15" t="n"/>
      <c r="J236" s="15" t="inlineStr">
        <is>
          <t>Không</t>
        </is>
      </c>
      <c r="K236" s="15" t="n"/>
      <c r="L236" s="15" t="n"/>
      <c r="M236" s="15" t="inlineStr">
        <is>
          <t>Mở</t>
        </is>
      </c>
      <c r="N236" s="15" t="n"/>
      <c r="O236" s="15">
        <f>IF(OR(B236="",L236=""),"",B236+IF(L236="P0",0,IF(L236="P1",7,IF(L236="P2",30,90))))</f>
        <v/>
      </c>
      <c r="P236" s="15" t="n"/>
      <c r="Q236" s="15">
        <f>IF(B236="","",IF(P236&lt;&gt;"",P236-B236,TODAY()-B236))</f>
        <v/>
      </c>
      <c r="R236" s="15" t="n"/>
    </row>
    <row r="237">
      <c r="A237" s="15" t="n"/>
      <c r="B237" s="15" t="n"/>
      <c r="C237" s="15" t="n"/>
      <c r="D237" s="15" t="n"/>
      <c r="E237" s="15" t="n"/>
      <c r="F237" s="15" t="n"/>
      <c r="G237" s="15" t="n"/>
      <c r="H237" s="15" t="n"/>
      <c r="I237" s="15" t="n"/>
      <c r="J237" s="15" t="inlineStr">
        <is>
          <t>Không</t>
        </is>
      </c>
      <c r="K237" s="15" t="n"/>
      <c r="L237" s="15" t="n"/>
      <c r="M237" s="15" t="inlineStr">
        <is>
          <t>Mở</t>
        </is>
      </c>
      <c r="N237" s="15" t="n"/>
      <c r="O237" s="15">
        <f>IF(OR(B237="",L237=""),"",B237+IF(L237="P0",0,IF(L237="P1",7,IF(L237="P2",30,90))))</f>
        <v/>
      </c>
      <c r="P237" s="15" t="n"/>
      <c r="Q237" s="15">
        <f>IF(B237="","",IF(P237&lt;&gt;"",P237-B237,TODAY()-B237))</f>
        <v/>
      </c>
      <c r="R237" s="15" t="n"/>
    </row>
    <row r="238">
      <c r="A238" s="15" t="n"/>
      <c r="B238" s="15" t="n"/>
      <c r="C238" s="15" t="n"/>
      <c r="D238" s="15" t="n"/>
      <c r="E238" s="15" t="n"/>
      <c r="F238" s="15" t="n"/>
      <c r="G238" s="15" t="n"/>
      <c r="H238" s="15" t="n"/>
      <c r="I238" s="15" t="n"/>
      <c r="J238" s="15" t="inlineStr">
        <is>
          <t>Không</t>
        </is>
      </c>
      <c r="K238" s="15" t="n"/>
      <c r="L238" s="15" t="n"/>
      <c r="M238" s="15" t="inlineStr">
        <is>
          <t>Mở</t>
        </is>
      </c>
      <c r="N238" s="15" t="n"/>
      <c r="O238" s="15">
        <f>IF(OR(B238="",L238=""),"",B238+IF(L238="P0",0,IF(L238="P1",7,IF(L238="P2",30,90))))</f>
        <v/>
      </c>
      <c r="P238" s="15" t="n"/>
      <c r="Q238" s="15">
        <f>IF(B238="","",IF(P238&lt;&gt;"",P238-B238,TODAY()-B238))</f>
        <v/>
      </c>
      <c r="R238" s="15" t="n"/>
    </row>
    <row r="239">
      <c r="A239" s="15" t="n"/>
      <c r="B239" s="15" t="n"/>
      <c r="C239" s="15" t="n"/>
      <c r="D239" s="15" t="n"/>
      <c r="E239" s="15" t="n"/>
      <c r="F239" s="15" t="n"/>
      <c r="G239" s="15" t="n"/>
      <c r="H239" s="15" t="n"/>
      <c r="I239" s="15" t="n"/>
      <c r="J239" s="15" t="inlineStr">
        <is>
          <t>Không</t>
        </is>
      </c>
      <c r="K239" s="15" t="n"/>
      <c r="L239" s="15" t="n"/>
      <c r="M239" s="15" t="inlineStr">
        <is>
          <t>Mở</t>
        </is>
      </c>
      <c r="N239" s="15" t="n"/>
      <c r="O239" s="15">
        <f>IF(OR(B239="",L239=""),"",B239+IF(L239="P0",0,IF(L239="P1",7,IF(L239="P2",30,90))))</f>
        <v/>
      </c>
      <c r="P239" s="15" t="n"/>
      <c r="Q239" s="15">
        <f>IF(B239="","",IF(P239&lt;&gt;"",P239-B239,TODAY()-B239))</f>
        <v/>
      </c>
      <c r="R239" s="15" t="n"/>
    </row>
    <row r="240">
      <c r="A240" s="15" t="n"/>
      <c r="B240" s="15" t="n"/>
      <c r="C240" s="15" t="n"/>
      <c r="D240" s="15" t="n"/>
      <c r="E240" s="15" t="n"/>
      <c r="F240" s="15" t="n"/>
      <c r="G240" s="15" t="n"/>
      <c r="H240" s="15" t="n"/>
      <c r="I240" s="15" t="n"/>
      <c r="J240" s="15" t="inlineStr">
        <is>
          <t>Không</t>
        </is>
      </c>
      <c r="K240" s="15" t="n"/>
      <c r="L240" s="15" t="n"/>
      <c r="M240" s="15" t="inlineStr">
        <is>
          <t>Mở</t>
        </is>
      </c>
      <c r="N240" s="15" t="n"/>
      <c r="O240" s="15">
        <f>IF(OR(B240="",L240=""),"",B240+IF(L240="P0",0,IF(L240="P1",7,IF(L240="P2",30,90))))</f>
        <v/>
      </c>
      <c r="P240" s="15" t="n"/>
      <c r="Q240" s="15">
        <f>IF(B240="","",IF(P240&lt;&gt;"",P240-B240,TODAY()-B240))</f>
        <v/>
      </c>
      <c r="R240" s="15" t="n"/>
    </row>
    <row r="241">
      <c r="A241" s="15" t="n"/>
      <c r="B241" s="15" t="n"/>
      <c r="C241" s="15" t="n"/>
      <c r="D241" s="15" t="n"/>
      <c r="E241" s="15" t="n"/>
      <c r="F241" s="15" t="n"/>
      <c r="G241" s="15" t="n"/>
      <c r="H241" s="15" t="n"/>
      <c r="I241" s="15" t="n"/>
      <c r="J241" s="15" t="inlineStr">
        <is>
          <t>Không</t>
        </is>
      </c>
      <c r="K241" s="15" t="n"/>
      <c r="L241" s="15" t="n"/>
      <c r="M241" s="15" t="inlineStr">
        <is>
          <t>Mở</t>
        </is>
      </c>
      <c r="N241" s="15" t="n"/>
      <c r="O241" s="15">
        <f>IF(OR(B241="",L241=""),"",B241+IF(L241="P0",0,IF(L241="P1",7,IF(L241="P2",30,90))))</f>
        <v/>
      </c>
      <c r="P241" s="15" t="n"/>
      <c r="Q241" s="15">
        <f>IF(B241="","",IF(P241&lt;&gt;"",P241-B241,TODAY()-B241))</f>
        <v/>
      </c>
      <c r="R241" s="15" t="n"/>
    </row>
    <row r="242">
      <c r="A242" s="15" t="n"/>
      <c r="B242" s="15" t="n"/>
      <c r="C242" s="15" t="n"/>
      <c r="D242" s="15" t="n"/>
      <c r="E242" s="15" t="n"/>
      <c r="F242" s="15" t="n"/>
      <c r="G242" s="15" t="n"/>
      <c r="H242" s="15" t="n"/>
      <c r="I242" s="15" t="n"/>
      <c r="J242" s="15" t="inlineStr">
        <is>
          <t>Không</t>
        </is>
      </c>
      <c r="K242" s="15" t="n"/>
      <c r="L242" s="15" t="n"/>
      <c r="M242" s="15" t="inlineStr">
        <is>
          <t>Mở</t>
        </is>
      </c>
      <c r="N242" s="15" t="n"/>
      <c r="O242" s="15">
        <f>IF(OR(B242="",L242=""),"",B242+IF(L242="P0",0,IF(L242="P1",7,IF(L242="P2",30,90))))</f>
        <v/>
      </c>
      <c r="P242" s="15" t="n"/>
      <c r="Q242" s="15">
        <f>IF(B242="","",IF(P242&lt;&gt;"",P242-B242,TODAY()-B242))</f>
        <v/>
      </c>
      <c r="R242" s="15" t="n"/>
    </row>
    <row r="243">
      <c r="A243" s="15" t="n"/>
      <c r="B243" s="15" t="n"/>
      <c r="C243" s="15" t="n"/>
      <c r="D243" s="15" t="n"/>
      <c r="E243" s="15" t="n"/>
      <c r="F243" s="15" t="n"/>
      <c r="G243" s="15" t="n"/>
      <c r="H243" s="15" t="n"/>
      <c r="I243" s="15" t="n"/>
      <c r="J243" s="15" t="inlineStr">
        <is>
          <t>Không</t>
        </is>
      </c>
      <c r="K243" s="15" t="n"/>
      <c r="L243" s="15" t="n"/>
      <c r="M243" s="15" t="inlineStr">
        <is>
          <t>Mở</t>
        </is>
      </c>
      <c r="N243" s="15" t="n"/>
      <c r="O243" s="15">
        <f>IF(OR(B243="",L243=""),"",B243+IF(L243="P0",0,IF(L243="P1",7,IF(L243="P2",30,90))))</f>
        <v/>
      </c>
      <c r="P243" s="15" t="n"/>
      <c r="Q243" s="15">
        <f>IF(B243="","",IF(P243&lt;&gt;"",P243-B243,TODAY()-B243))</f>
        <v/>
      </c>
      <c r="R243" s="15" t="n"/>
    </row>
    <row r="244">
      <c r="A244" s="15" t="n"/>
      <c r="B244" s="15" t="n"/>
      <c r="C244" s="15" t="n"/>
      <c r="D244" s="15" t="n"/>
      <c r="E244" s="15" t="n"/>
      <c r="F244" s="15" t="n"/>
      <c r="G244" s="15" t="n"/>
      <c r="H244" s="15" t="n"/>
      <c r="I244" s="15" t="n"/>
      <c r="J244" s="15" t="inlineStr">
        <is>
          <t>Không</t>
        </is>
      </c>
      <c r="K244" s="15" t="n"/>
      <c r="L244" s="15" t="n"/>
      <c r="M244" s="15" t="inlineStr">
        <is>
          <t>Mở</t>
        </is>
      </c>
      <c r="N244" s="15" t="n"/>
      <c r="O244" s="15">
        <f>IF(OR(B244="",L244=""),"",B244+IF(L244="P0",0,IF(L244="P1",7,IF(L244="P2",30,90))))</f>
        <v/>
      </c>
      <c r="P244" s="15" t="n"/>
      <c r="Q244" s="15">
        <f>IF(B244="","",IF(P244&lt;&gt;"",P244-B244,TODAY()-B244))</f>
        <v/>
      </c>
      <c r="R244" s="15" t="n"/>
    </row>
    <row r="245">
      <c r="A245" s="15" t="n"/>
      <c r="B245" s="15" t="n"/>
      <c r="C245" s="15" t="n"/>
      <c r="D245" s="15" t="n"/>
      <c r="E245" s="15" t="n"/>
      <c r="F245" s="15" t="n"/>
      <c r="G245" s="15" t="n"/>
      <c r="H245" s="15" t="n"/>
      <c r="I245" s="15" t="n"/>
      <c r="J245" s="15" t="inlineStr">
        <is>
          <t>Không</t>
        </is>
      </c>
      <c r="K245" s="15" t="n"/>
      <c r="L245" s="15" t="n"/>
      <c r="M245" s="15" t="inlineStr">
        <is>
          <t>Mở</t>
        </is>
      </c>
      <c r="N245" s="15" t="n"/>
      <c r="O245" s="15">
        <f>IF(OR(B245="",L245=""),"",B245+IF(L245="P0",0,IF(L245="P1",7,IF(L245="P2",30,90))))</f>
        <v/>
      </c>
      <c r="P245" s="15" t="n"/>
      <c r="Q245" s="15">
        <f>IF(B245="","",IF(P245&lt;&gt;"",P245-B245,TODAY()-B245))</f>
        <v/>
      </c>
      <c r="R245" s="15" t="n"/>
    </row>
    <row r="246">
      <c r="A246" s="15" t="n"/>
      <c r="B246" s="15" t="n"/>
      <c r="C246" s="15" t="n"/>
      <c r="D246" s="15" t="n"/>
      <c r="E246" s="15" t="n"/>
      <c r="F246" s="15" t="n"/>
      <c r="G246" s="15" t="n"/>
      <c r="H246" s="15" t="n"/>
      <c r="I246" s="15" t="n"/>
      <c r="J246" s="15" t="inlineStr">
        <is>
          <t>Không</t>
        </is>
      </c>
      <c r="K246" s="15" t="n"/>
      <c r="L246" s="15" t="n"/>
      <c r="M246" s="15" t="inlineStr">
        <is>
          <t>Mở</t>
        </is>
      </c>
      <c r="N246" s="15" t="n"/>
      <c r="O246" s="15">
        <f>IF(OR(B246="",L246=""),"",B246+IF(L246="P0",0,IF(L246="P1",7,IF(L246="P2",30,90))))</f>
        <v/>
      </c>
      <c r="P246" s="15" t="n"/>
      <c r="Q246" s="15">
        <f>IF(B246="","",IF(P246&lt;&gt;"",P246-B246,TODAY()-B246))</f>
        <v/>
      </c>
      <c r="R246" s="15" t="n"/>
    </row>
    <row r="247">
      <c r="A247" s="15" t="n"/>
      <c r="B247" s="15" t="n"/>
      <c r="C247" s="15" t="n"/>
      <c r="D247" s="15" t="n"/>
      <c r="E247" s="15" t="n"/>
      <c r="F247" s="15" t="n"/>
      <c r="G247" s="15" t="n"/>
      <c r="H247" s="15" t="n"/>
      <c r="I247" s="15" t="n"/>
      <c r="J247" s="15" t="inlineStr">
        <is>
          <t>Không</t>
        </is>
      </c>
      <c r="K247" s="15" t="n"/>
      <c r="L247" s="15" t="n"/>
      <c r="M247" s="15" t="inlineStr">
        <is>
          <t>Mở</t>
        </is>
      </c>
      <c r="N247" s="15" t="n"/>
      <c r="O247" s="15">
        <f>IF(OR(B247="",L247=""),"",B247+IF(L247="P0",0,IF(L247="P1",7,IF(L247="P2",30,90))))</f>
        <v/>
      </c>
      <c r="P247" s="15" t="n"/>
      <c r="Q247" s="15">
        <f>IF(B247="","",IF(P247&lt;&gt;"",P247-B247,TODAY()-B247))</f>
        <v/>
      </c>
      <c r="R247" s="15" t="n"/>
    </row>
    <row r="248">
      <c r="A248" s="15" t="n"/>
      <c r="B248" s="15" t="n"/>
      <c r="C248" s="15" t="n"/>
      <c r="D248" s="15" t="n"/>
      <c r="E248" s="15" t="n"/>
      <c r="F248" s="15" t="n"/>
      <c r="G248" s="15" t="n"/>
      <c r="H248" s="15" t="n"/>
      <c r="I248" s="15" t="n"/>
      <c r="J248" s="15" t="inlineStr">
        <is>
          <t>Không</t>
        </is>
      </c>
      <c r="K248" s="15" t="n"/>
      <c r="L248" s="15" t="n"/>
      <c r="M248" s="15" t="inlineStr">
        <is>
          <t>Mở</t>
        </is>
      </c>
      <c r="N248" s="15" t="n"/>
      <c r="O248" s="15">
        <f>IF(OR(B248="",L248=""),"",B248+IF(L248="P0",0,IF(L248="P1",7,IF(L248="P2",30,90))))</f>
        <v/>
      </c>
      <c r="P248" s="15" t="n"/>
      <c r="Q248" s="15">
        <f>IF(B248="","",IF(P248&lt;&gt;"",P248-B248,TODAY()-B248))</f>
        <v/>
      </c>
      <c r="R248" s="15" t="n"/>
    </row>
    <row r="249">
      <c r="A249" s="15" t="n"/>
      <c r="B249" s="15" t="n"/>
      <c r="C249" s="15" t="n"/>
      <c r="D249" s="15" t="n"/>
      <c r="E249" s="15" t="n"/>
      <c r="F249" s="15" t="n"/>
      <c r="G249" s="15" t="n"/>
      <c r="H249" s="15" t="n"/>
      <c r="I249" s="15" t="n"/>
      <c r="J249" s="15" t="inlineStr">
        <is>
          <t>Không</t>
        </is>
      </c>
      <c r="K249" s="15" t="n"/>
      <c r="L249" s="15" t="n"/>
      <c r="M249" s="15" t="inlineStr">
        <is>
          <t>Mở</t>
        </is>
      </c>
      <c r="N249" s="15" t="n"/>
      <c r="O249" s="15">
        <f>IF(OR(B249="",L249=""),"",B249+IF(L249="P0",0,IF(L249="P1",7,IF(L249="P2",30,90))))</f>
        <v/>
      </c>
      <c r="P249" s="15" t="n"/>
      <c r="Q249" s="15">
        <f>IF(B249="","",IF(P249&lt;&gt;"",P249-B249,TODAY()-B249))</f>
        <v/>
      </c>
      <c r="R249" s="15" t="n"/>
    </row>
    <row r="250">
      <c r="A250" s="15" t="n"/>
      <c r="B250" s="15" t="n"/>
      <c r="C250" s="15" t="n"/>
      <c r="D250" s="15" t="n"/>
      <c r="E250" s="15" t="n"/>
      <c r="F250" s="15" t="n"/>
      <c r="G250" s="15" t="n"/>
      <c r="H250" s="15" t="n"/>
      <c r="I250" s="15" t="n"/>
      <c r="J250" s="15" t="inlineStr">
        <is>
          <t>Không</t>
        </is>
      </c>
      <c r="K250" s="15" t="n"/>
      <c r="L250" s="15" t="n"/>
      <c r="M250" s="15" t="inlineStr">
        <is>
          <t>Mở</t>
        </is>
      </c>
      <c r="N250" s="15" t="n"/>
      <c r="O250" s="15">
        <f>IF(OR(B250="",L250=""),"",B250+IF(L250="P0",0,IF(L250="P1",7,IF(L250="P2",30,90))))</f>
        <v/>
      </c>
      <c r="P250" s="15" t="n"/>
      <c r="Q250" s="15">
        <f>IF(B250="","",IF(P250&lt;&gt;"",P250-B250,TODAY()-B250))</f>
        <v/>
      </c>
      <c r="R250" s="15" t="n"/>
    </row>
    <row r="251">
      <c r="A251" s="15" t="n"/>
      <c r="B251" s="15" t="n"/>
      <c r="C251" s="15" t="n"/>
      <c r="D251" s="15" t="n"/>
      <c r="E251" s="15" t="n"/>
      <c r="F251" s="15" t="n"/>
      <c r="G251" s="15" t="n"/>
      <c r="H251" s="15" t="n"/>
      <c r="I251" s="15" t="n"/>
      <c r="J251" s="15" t="inlineStr">
        <is>
          <t>Không</t>
        </is>
      </c>
      <c r="K251" s="15" t="n"/>
      <c r="L251" s="15" t="n"/>
      <c r="M251" s="15" t="inlineStr">
        <is>
          <t>Mở</t>
        </is>
      </c>
      <c r="N251" s="15" t="n"/>
      <c r="O251" s="15">
        <f>IF(OR(B251="",L251=""),"",B251+IF(L251="P0",0,IF(L251="P1",7,IF(L251="P2",30,90))))</f>
        <v/>
      </c>
      <c r="P251" s="15" t="n"/>
      <c r="Q251" s="15">
        <f>IF(B251="","",IF(P251&lt;&gt;"",P251-B251,TODAY()-B251))</f>
        <v/>
      </c>
      <c r="R251" s="15" t="n"/>
    </row>
    <row r="252">
      <c r="A252" s="15" t="n"/>
      <c r="B252" s="15" t="n"/>
      <c r="C252" s="15" t="n"/>
      <c r="D252" s="15" t="n"/>
      <c r="E252" s="15" t="n"/>
      <c r="F252" s="15" t="n"/>
      <c r="G252" s="15" t="n"/>
      <c r="H252" s="15" t="n"/>
      <c r="I252" s="15" t="n"/>
      <c r="J252" s="15" t="inlineStr">
        <is>
          <t>Không</t>
        </is>
      </c>
      <c r="K252" s="15" t="n"/>
      <c r="L252" s="15" t="n"/>
      <c r="M252" s="15" t="inlineStr">
        <is>
          <t>Mở</t>
        </is>
      </c>
      <c r="N252" s="15" t="n"/>
      <c r="O252" s="15">
        <f>IF(OR(B252="",L252=""),"",B252+IF(L252="P0",0,IF(L252="P1",7,IF(L252="P2",30,90))))</f>
        <v/>
      </c>
      <c r="P252" s="15" t="n"/>
      <c r="Q252" s="15">
        <f>IF(B252="","",IF(P252&lt;&gt;"",P252-B252,TODAY()-B252))</f>
        <v/>
      </c>
      <c r="R252" s="15" t="n"/>
    </row>
    <row r="253">
      <c r="A253" s="15" t="n"/>
      <c r="B253" s="15" t="n"/>
      <c r="C253" s="15" t="n"/>
      <c r="D253" s="15" t="n"/>
      <c r="E253" s="15" t="n"/>
      <c r="F253" s="15" t="n"/>
      <c r="G253" s="15" t="n"/>
      <c r="H253" s="15" t="n"/>
      <c r="I253" s="15" t="n"/>
      <c r="J253" s="15" t="inlineStr">
        <is>
          <t>Không</t>
        </is>
      </c>
      <c r="K253" s="15" t="n"/>
      <c r="L253" s="15" t="n"/>
      <c r="M253" s="15" t="inlineStr">
        <is>
          <t>Mở</t>
        </is>
      </c>
      <c r="N253" s="15" t="n"/>
      <c r="O253" s="15">
        <f>IF(OR(B253="",L253=""),"",B253+IF(L253="P0",0,IF(L253="P1",7,IF(L253="P2",30,90))))</f>
        <v/>
      </c>
      <c r="P253" s="15" t="n"/>
      <c r="Q253" s="15">
        <f>IF(B253="","",IF(P253&lt;&gt;"",P253-B253,TODAY()-B253))</f>
        <v/>
      </c>
      <c r="R253" s="15" t="n"/>
    </row>
    <row r="254">
      <c r="A254" s="15" t="n"/>
      <c r="B254" s="15" t="n"/>
      <c r="C254" s="15" t="n"/>
      <c r="D254" s="15" t="n"/>
      <c r="E254" s="15" t="n"/>
      <c r="F254" s="15" t="n"/>
      <c r="G254" s="15" t="n"/>
      <c r="H254" s="15" t="n"/>
      <c r="I254" s="15" t="n"/>
      <c r="J254" s="15" t="inlineStr">
        <is>
          <t>Không</t>
        </is>
      </c>
      <c r="K254" s="15" t="n"/>
      <c r="L254" s="15" t="n"/>
      <c r="M254" s="15" t="inlineStr">
        <is>
          <t>Mở</t>
        </is>
      </c>
      <c r="N254" s="15" t="n"/>
      <c r="O254" s="15">
        <f>IF(OR(B254="",L254=""),"",B254+IF(L254="P0",0,IF(L254="P1",7,IF(L254="P2",30,90))))</f>
        <v/>
      </c>
      <c r="P254" s="15" t="n"/>
      <c r="Q254" s="15">
        <f>IF(B254="","",IF(P254&lt;&gt;"",P254-B254,TODAY()-B254))</f>
        <v/>
      </c>
      <c r="R254" s="15" t="n"/>
    </row>
    <row r="255">
      <c r="A255" s="15" t="n"/>
      <c r="B255" s="15" t="n"/>
      <c r="C255" s="15" t="n"/>
      <c r="D255" s="15" t="n"/>
      <c r="E255" s="15" t="n"/>
      <c r="F255" s="15" t="n"/>
      <c r="G255" s="15" t="n"/>
      <c r="H255" s="15" t="n"/>
      <c r="I255" s="15" t="n"/>
      <c r="J255" s="15" t="inlineStr">
        <is>
          <t>Không</t>
        </is>
      </c>
      <c r="K255" s="15" t="n"/>
      <c r="L255" s="15" t="n"/>
      <c r="M255" s="15" t="inlineStr">
        <is>
          <t>Mở</t>
        </is>
      </c>
      <c r="N255" s="15" t="n"/>
      <c r="O255" s="15">
        <f>IF(OR(B255="",L255=""),"",B255+IF(L255="P0",0,IF(L255="P1",7,IF(L255="P2",30,90))))</f>
        <v/>
      </c>
      <c r="P255" s="15" t="n"/>
      <c r="Q255" s="15">
        <f>IF(B255="","",IF(P255&lt;&gt;"",P255-B255,TODAY()-B255))</f>
        <v/>
      </c>
      <c r="R255" s="15" t="n"/>
    </row>
    <row r="256">
      <c r="A256" s="15" t="n"/>
      <c r="B256" s="15" t="n"/>
      <c r="C256" s="15" t="n"/>
      <c r="D256" s="15" t="n"/>
      <c r="E256" s="15" t="n"/>
      <c r="F256" s="15" t="n"/>
      <c r="G256" s="15" t="n"/>
      <c r="H256" s="15" t="n"/>
      <c r="I256" s="15" t="n"/>
      <c r="J256" s="15" t="inlineStr">
        <is>
          <t>Không</t>
        </is>
      </c>
      <c r="K256" s="15" t="n"/>
      <c r="L256" s="15" t="n"/>
      <c r="M256" s="15" t="inlineStr">
        <is>
          <t>Mở</t>
        </is>
      </c>
      <c r="N256" s="15" t="n"/>
      <c r="O256" s="15">
        <f>IF(OR(B256="",L256=""),"",B256+IF(L256="P0",0,IF(L256="P1",7,IF(L256="P2",30,90))))</f>
        <v/>
      </c>
      <c r="P256" s="15" t="n"/>
      <c r="Q256" s="15">
        <f>IF(B256="","",IF(P256&lt;&gt;"",P256-B256,TODAY()-B256))</f>
        <v/>
      </c>
      <c r="R256" s="15" t="n"/>
    </row>
    <row r="257">
      <c r="A257" s="15" t="n"/>
      <c r="B257" s="15" t="n"/>
      <c r="C257" s="15" t="n"/>
      <c r="D257" s="15" t="n"/>
      <c r="E257" s="15" t="n"/>
      <c r="F257" s="15" t="n"/>
      <c r="G257" s="15" t="n"/>
      <c r="H257" s="15" t="n"/>
      <c r="I257" s="15" t="n"/>
      <c r="J257" s="15" t="inlineStr">
        <is>
          <t>Không</t>
        </is>
      </c>
      <c r="K257" s="15" t="n"/>
      <c r="L257" s="15" t="n"/>
      <c r="M257" s="15" t="inlineStr">
        <is>
          <t>Mở</t>
        </is>
      </c>
      <c r="N257" s="15" t="n"/>
      <c r="O257" s="15">
        <f>IF(OR(B257="",L257=""),"",B257+IF(L257="P0",0,IF(L257="P1",7,IF(L257="P2",30,90))))</f>
        <v/>
      </c>
      <c r="P257" s="15" t="n"/>
      <c r="Q257" s="15">
        <f>IF(B257="","",IF(P257&lt;&gt;"",P257-B257,TODAY()-B257))</f>
        <v/>
      </c>
      <c r="R257" s="15" t="n"/>
    </row>
    <row r="258">
      <c r="A258" s="15" t="n"/>
      <c r="B258" s="15" t="n"/>
      <c r="C258" s="15" t="n"/>
      <c r="D258" s="15" t="n"/>
      <c r="E258" s="15" t="n"/>
      <c r="F258" s="15" t="n"/>
      <c r="G258" s="15" t="n"/>
      <c r="H258" s="15" t="n"/>
      <c r="I258" s="15" t="n"/>
      <c r="J258" s="15" t="inlineStr">
        <is>
          <t>Không</t>
        </is>
      </c>
      <c r="K258" s="15" t="n"/>
      <c r="L258" s="15" t="n"/>
      <c r="M258" s="15" t="inlineStr">
        <is>
          <t>Mở</t>
        </is>
      </c>
      <c r="N258" s="15" t="n"/>
      <c r="O258" s="15">
        <f>IF(OR(B258="",L258=""),"",B258+IF(L258="P0",0,IF(L258="P1",7,IF(L258="P2",30,90))))</f>
        <v/>
      </c>
      <c r="P258" s="15" t="n"/>
      <c r="Q258" s="15">
        <f>IF(B258="","",IF(P258&lt;&gt;"",P258-B258,TODAY()-B258))</f>
        <v/>
      </c>
      <c r="R258" s="15" t="n"/>
    </row>
    <row r="259">
      <c r="A259" s="15" t="n"/>
      <c r="B259" s="15" t="n"/>
      <c r="C259" s="15" t="n"/>
      <c r="D259" s="15" t="n"/>
      <c r="E259" s="15" t="n"/>
      <c r="F259" s="15" t="n"/>
      <c r="G259" s="15" t="n"/>
      <c r="H259" s="15" t="n"/>
      <c r="I259" s="15" t="n"/>
      <c r="J259" s="15" t="inlineStr">
        <is>
          <t>Không</t>
        </is>
      </c>
      <c r="K259" s="15" t="n"/>
      <c r="L259" s="15" t="n"/>
      <c r="M259" s="15" t="inlineStr">
        <is>
          <t>Mở</t>
        </is>
      </c>
      <c r="N259" s="15" t="n"/>
      <c r="O259" s="15">
        <f>IF(OR(B259="",L259=""),"",B259+IF(L259="P0",0,IF(L259="P1",7,IF(L259="P2",30,90))))</f>
        <v/>
      </c>
      <c r="P259" s="15" t="n"/>
      <c r="Q259" s="15">
        <f>IF(B259="","",IF(P259&lt;&gt;"",P259-B259,TODAY()-B259))</f>
        <v/>
      </c>
      <c r="R259" s="15" t="n"/>
    </row>
    <row r="260">
      <c r="A260" s="15" t="n"/>
      <c r="B260" s="15" t="n"/>
      <c r="C260" s="15" t="n"/>
      <c r="D260" s="15" t="n"/>
      <c r="E260" s="15" t="n"/>
      <c r="F260" s="15" t="n"/>
      <c r="G260" s="15" t="n"/>
      <c r="H260" s="15" t="n"/>
      <c r="I260" s="15" t="n"/>
      <c r="J260" s="15" t="inlineStr">
        <is>
          <t>Không</t>
        </is>
      </c>
      <c r="K260" s="15" t="n"/>
      <c r="L260" s="15" t="n"/>
      <c r="M260" s="15" t="inlineStr">
        <is>
          <t>Mở</t>
        </is>
      </c>
      <c r="N260" s="15" t="n"/>
      <c r="O260" s="15">
        <f>IF(OR(B260="",L260=""),"",B260+IF(L260="P0",0,IF(L260="P1",7,IF(L260="P2",30,90))))</f>
        <v/>
      </c>
      <c r="P260" s="15" t="n"/>
      <c r="Q260" s="15">
        <f>IF(B260="","",IF(P260&lt;&gt;"",P260-B260,TODAY()-B260))</f>
        <v/>
      </c>
      <c r="R260" s="15" t="n"/>
    </row>
    <row r="261">
      <c r="A261" s="15" t="n"/>
      <c r="B261" s="15" t="n"/>
      <c r="C261" s="15" t="n"/>
      <c r="D261" s="15" t="n"/>
      <c r="E261" s="15" t="n"/>
      <c r="F261" s="15" t="n"/>
      <c r="G261" s="15" t="n"/>
      <c r="H261" s="15" t="n"/>
      <c r="I261" s="15" t="n"/>
      <c r="J261" s="15" t="inlineStr">
        <is>
          <t>Không</t>
        </is>
      </c>
      <c r="K261" s="15" t="n"/>
      <c r="L261" s="15" t="n"/>
      <c r="M261" s="15" t="inlineStr">
        <is>
          <t>Mở</t>
        </is>
      </c>
      <c r="N261" s="15" t="n"/>
      <c r="O261" s="15">
        <f>IF(OR(B261="",L261=""),"",B261+IF(L261="P0",0,IF(L261="P1",7,IF(L261="P2",30,90))))</f>
        <v/>
      </c>
      <c r="P261" s="15" t="n"/>
      <c r="Q261" s="15">
        <f>IF(B261="","",IF(P261&lt;&gt;"",P261-B261,TODAY()-B261))</f>
        <v/>
      </c>
      <c r="R261" s="15" t="n"/>
    </row>
    <row r="262">
      <c r="A262" s="15" t="n"/>
      <c r="B262" s="15" t="n"/>
      <c r="C262" s="15" t="n"/>
      <c r="D262" s="15" t="n"/>
      <c r="E262" s="15" t="n"/>
      <c r="F262" s="15" t="n"/>
      <c r="G262" s="15" t="n"/>
      <c r="H262" s="15" t="n"/>
      <c r="I262" s="15" t="n"/>
      <c r="J262" s="15" t="inlineStr">
        <is>
          <t>Không</t>
        </is>
      </c>
      <c r="K262" s="15" t="n"/>
      <c r="L262" s="15" t="n"/>
      <c r="M262" s="15" t="inlineStr">
        <is>
          <t>Mở</t>
        </is>
      </c>
      <c r="N262" s="15" t="n"/>
      <c r="O262" s="15">
        <f>IF(OR(B262="",L262=""),"",B262+IF(L262="P0",0,IF(L262="P1",7,IF(L262="P2",30,90))))</f>
        <v/>
      </c>
      <c r="P262" s="15" t="n"/>
      <c r="Q262" s="15">
        <f>IF(B262="","",IF(P262&lt;&gt;"",P262-B262,TODAY()-B262))</f>
        <v/>
      </c>
      <c r="R262" s="15" t="n"/>
    </row>
    <row r="263">
      <c r="A263" s="15" t="n"/>
      <c r="B263" s="15" t="n"/>
      <c r="C263" s="15" t="n"/>
      <c r="D263" s="15" t="n"/>
      <c r="E263" s="15" t="n"/>
      <c r="F263" s="15" t="n"/>
      <c r="G263" s="15" t="n"/>
      <c r="H263" s="15" t="n"/>
      <c r="I263" s="15" t="n"/>
      <c r="J263" s="15" t="inlineStr">
        <is>
          <t>Không</t>
        </is>
      </c>
      <c r="K263" s="15" t="n"/>
      <c r="L263" s="15" t="n"/>
      <c r="M263" s="15" t="inlineStr">
        <is>
          <t>Mở</t>
        </is>
      </c>
      <c r="N263" s="15" t="n"/>
      <c r="O263" s="15">
        <f>IF(OR(B263="",L263=""),"",B263+IF(L263="P0",0,IF(L263="P1",7,IF(L263="P2",30,90))))</f>
        <v/>
      </c>
      <c r="P263" s="15" t="n"/>
      <c r="Q263" s="15">
        <f>IF(B263="","",IF(P263&lt;&gt;"",P263-B263,TODAY()-B263))</f>
        <v/>
      </c>
      <c r="R263" s="15" t="n"/>
    </row>
    <row r="264">
      <c r="A264" s="15" t="n"/>
      <c r="B264" s="15" t="n"/>
      <c r="C264" s="15" t="n"/>
      <c r="D264" s="15" t="n"/>
      <c r="E264" s="15" t="n"/>
      <c r="F264" s="15" t="n"/>
      <c r="G264" s="15" t="n"/>
      <c r="H264" s="15" t="n"/>
      <c r="I264" s="15" t="n"/>
      <c r="J264" s="15" t="inlineStr">
        <is>
          <t>Không</t>
        </is>
      </c>
      <c r="K264" s="15" t="n"/>
      <c r="L264" s="15" t="n"/>
      <c r="M264" s="15" t="inlineStr">
        <is>
          <t>Mở</t>
        </is>
      </c>
      <c r="N264" s="15" t="n"/>
      <c r="O264" s="15">
        <f>IF(OR(B264="",L264=""),"",B264+IF(L264="P0",0,IF(L264="P1",7,IF(L264="P2",30,90))))</f>
        <v/>
      </c>
      <c r="P264" s="15" t="n"/>
      <c r="Q264" s="15">
        <f>IF(B264="","",IF(P264&lt;&gt;"",P264-B264,TODAY()-B264))</f>
        <v/>
      </c>
      <c r="R264" s="15" t="n"/>
    </row>
    <row r="265">
      <c r="A265" s="15" t="n"/>
      <c r="B265" s="15" t="n"/>
      <c r="C265" s="15" t="n"/>
      <c r="D265" s="15" t="n"/>
      <c r="E265" s="15" t="n"/>
      <c r="F265" s="15" t="n"/>
      <c r="G265" s="15" t="n"/>
      <c r="H265" s="15" t="n"/>
      <c r="I265" s="15" t="n"/>
      <c r="J265" s="15" t="inlineStr">
        <is>
          <t>Không</t>
        </is>
      </c>
      <c r="K265" s="15" t="n"/>
      <c r="L265" s="15" t="n"/>
      <c r="M265" s="15" t="inlineStr">
        <is>
          <t>Mở</t>
        </is>
      </c>
      <c r="N265" s="15" t="n"/>
      <c r="O265" s="15">
        <f>IF(OR(B265="",L265=""),"",B265+IF(L265="P0",0,IF(L265="P1",7,IF(L265="P2",30,90))))</f>
        <v/>
      </c>
      <c r="P265" s="15" t="n"/>
      <c r="Q265" s="15">
        <f>IF(B265="","",IF(P265&lt;&gt;"",P265-B265,TODAY()-B265))</f>
        <v/>
      </c>
      <c r="R265" s="15" t="n"/>
    </row>
    <row r="266">
      <c r="A266" s="15" t="n"/>
      <c r="B266" s="15" t="n"/>
      <c r="C266" s="15" t="n"/>
      <c r="D266" s="15" t="n"/>
      <c r="E266" s="15" t="n"/>
      <c r="F266" s="15" t="n"/>
      <c r="G266" s="15" t="n"/>
      <c r="H266" s="15" t="n"/>
      <c r="I266" s="15" t="n"/>
      <c r="J266" s="15" t="inlineStr">
        <is>
          <t>Không</t>
        </is>
      </c>
      <c r="K266" s="15" t="n"/>
      <c r="L266" s="15" t="n"/>
      <c r="M266" s="15" t="inlineStr">
        <is>
          <t>Mở</t>
        </is>
      </c>
      <c r="N266" s="15" t="n"/>
      <c r="O266" s="15">
        <f>IF(OR(B266="",L266=""),"",B266+IF(L266="P0",0,IF(L266="P1",7,IF(L266="P2",30,90))))</f>
        <v/>
      </c>
      <c r="P266" s="15" t="n"/>
      <c r="Q266" s="15">
        <f>IF(B266="","",IF(P266&lt;&gt;"",P266-B266,TODAY()-B266))</f>
        <v/>
      </c>
      <c r="R266" s="15" t="n"/>
    </row>
    <row r="267">
      <c r="A267" s="15" t="n"/>
      <c r="B267" s="15" t="n"/>
      <c r="C267" s="15" t="n"/>
      <c r="D267" s="15" t="n"/>
      <c r="E267" s="15" t="n"/>
      <c r="F267" s="15" t="n"/>
      <c r="G267" s="15" t="n"/>
      <c r="H267" s="15" t="n"/>
      <c r="I267" s="15" t="n"/>
      <c r="J267" s="15" t="inlineStr">
        <is>
          <t>Không</t>
        </is>
      </c>
      <c r="K267" s="15" t="n"/>
      <c r="L267" s="15" t="n"/>
      <c r="M267" s="15" t="inlineStr">
        <is>
          <t>Mở</t>
        </is>
      </c>
      <c r="N267" s="15" t="n"/>
      <c r="O267" s="15">
        <f>IF(OR(B267="",L267=""),"",B267+IF(L267="P0",0,IF(L267="P1",7,IF(L267="P2",30,90))))</f>
        <v/>
      </c>
      <c r="P267" s="15" t="n"/>
      <c r="Q267" s="15">
        <f>IF(B267="","",IF(P267&lt;&gt;"",P267-B267,TODAY()-B267))</f>
        <v/>
      </c>
      <c r="R267" s="15" t="n"/>
    </row>
    <row r="268">
      <c r="A268" s="15" t="n"/>
      <c r="B268" s="15" t="n"/>
      <c r="C268" s="15" t="n"/>
      <c r="D268" s="15" t="n"/>
      <c r="E268" s="15" t="n"/>
      <c r="F268" s="15" t="n"/>
      <c r="G268" s="15" t="n"/>
      <c r="H268" s="15" t="n"/>
      <c r="I268" s="15" t="n"/>
      <c r="J268" s="15" t="inlineStr">
        <is>
          <t>Không</t>
        </is>
      </c>
      <c r="K268" s="15" t="n"/>
      <c r="L268" s="15" t="n"/>
      <c r="M268" s="15" t="inlineStr">
        <is>
          <t>Mở</t>
        </is>
      </c>
      <c r="N268" s="15" t="n"/>
      <c r="O268" s="15">
        <f>IF(OR(B268="",L268=""),"",B268+IF(L268="P0",0,IF(L268="P1",7,IF(L268="P2",30,90))))</f>
        <v/>
      </c>
      <c r="P268" s="15" t="n"/>
      <c r="Q268" s="15">
        <f>IF(B268="","",IF(P268&lt;&gt;"",P268-B268,TODAY()-B268))</f>
        <v/>
      </c>
      <c r="R268" s="15" t="n"/>
    </row>
    <row r="269">
      <c r="A269" s="15" t="n"/>
      <c r="B269" s="15" t="n"/>
      <c r="C269" s="15" t="n"/>
      <c r="D269" s="15" t="n"/>
      <c r="E269" s="15" t="n"/>
      <c r="F269" s="15" t="n"/>
      <c r="G269" s="15" t="n"/>
      <c r="H269" s="15" t="n"/>
      <c r="I269" s="15" t="n"/>
      <c r="J269" s="15" t="inlineStr">
        <is>
          <t>Không</t>
        </is>
      </c>
      <c r="K269" s="15" t="n"/>
      <c r="L269" s="15" t="n"/>
      <c r="M269" s="15" t="inlineStr">
        <is>
          <t>Mở</t>
        </is>
      </c>
      <c r="N269" s="15" t="n"/>
      <c r="O269" s="15">
        <f>IF(OR(B269="",L269=""),"",B269+IF(L269="P0",0,IF(L269="P1",7,IF(L269="P2",30,90))))</f>
        <v/>
      </c>
      <c r="P269" s="15" t="n"/>
      <c r="Q269" s="15">
        <f>IF(B269="","",IF(P269&lt;&gt;"",P269-B269,TODAY()-B269))</f>
        <v/>
      </c>
      <c r="R269" s="15" t="n"/>
    </row>
    <row r="270">
      <c r="A270" s="15" t="n"/>
      <c r="B270" s="15" t="n"/>
      <c r="C270" s="15" t="n"/>
      <c r="D270" s="15" t="n"/>
      <c r="E270" s="15" t="n"/>
      <c r="F270" s="15" t="n"/>
      <c r="G270" s="15" t="n"/>
      <c r="H270" s="15" t="n"/>
      <c r="I270" s="15" t="n"/>
      <c r="J270" s="15" t="inlineStr">
        <is>
          <t>Không</t>
        </is>
      </c>
      <c r="K270" s="15" t="n"/>
      <c r="L270" s="15" t="n"/>
      <c r="M270" s="15" t="inlineStr">
        <is>
          <t>Mở</t>
        </is>
      </c>
      <c r="N270" s="15" t="n"/>
      <c r="O270" s="15">
        <f>IF(OR(B270="",L270=""),"",B270+IF(L270="P0",0,IF(L270="P1",7,IF(L270="P2",30,90))))</f>
        <v/>
      </c>
      <c r="P270" s="15" t="n"/>
      <c r="Q270" s="15">
        <f>IF(B270="","",IF(P270&lt;&gt;"",P270-B270,TODAY()-B270))</f>
        <v/>
      </c>
      <c r="R270" s="15" t="n"/>
    </row>
    <row r="271">
      <c r="A271" s="15" t="n"/>
      <c r="B271" s="15" t="n"/>
      <c r="C271" s="15" t="n"/>
      <c r="D271" s="15" t="n"/>
      <c r="E271" s="15" t="n"/>
      <c r="F271" s="15" t="n"/>
      <c r="G271" s="15" t="n"/>
      <c r="H271" s="15" t="n"/>
      <c r="I271" s="15" t="n"/>
      <c r="J271" s="15" t="inlineStr">
        <is>
          <t>Không</t>
        </is>
      </c>
      <c r="K271" s="15" t="n"/>
      <c r="L271" s="15" t="n"/>
      <c r="M271" s="15" t="inlineStr">
        <is>
          <t>Mở</t>
        </is>
      </c>
      <c r="N271" s="15" t="n"/>
      <c r="O271" s="15">
        <f>IF(OR(B271="",L271=""),"",B271+IF(L271="P0",0,IF(L271="P1",7,IF(L271="P2",30,90))))</f>
        <v/>
      </c>
      <c r="P271" s="15" t="n"/>
      <c r="Q271" s="15">
        <f>IF(B271="","",IF(P271&lt;&gt;"",P271-B271,TODAY()-B271))</f>
        <v/>
      </c>
      <c r="R271" s="15" t="n"/>
    </row>
    <row r="272">
      <c r="A272" s="15" t="n"/>
      <c r="B272" s="15" t="n"/>
      <c r="C272" s="15" t="n"/>
      <c r="D272" s="15" t="n"/>
      <c r="E272" s="15" t="n"/>
      <c r="F272" s="15" t="n"/>
      <c r="G272" s="15" t="n"/>
      <c r="H272" s="15" t="n"/>
      <c r="I272" s="15" t="n"/>
      <c r="J272" s="15" t="inlineStr">
        <is>
          <t>Không</t>
        </is>
      </c>
      <c r="K272" s="15" t="n"/>
      <c r="L272" s="15" t="n"/>
      <c r="M272" s="15" t="inlineStr">
        <is>
          <t>Mở</t>
        </is>
      </c>
      <c r="N272" s="15" t="n"/>
      <c r="O272" s="15">
        <f>IF(OR(B272="",L272=""),"",B272+IF(L272="P0",0,IF(L272="P1",7,IF(L272="P2",30,90))))</f>
        <v/>
      </c>
      <c r="P272" s="15" t="n"/>
      <c r="Q272" s="15">
        <f>IF(B272="","",IF(P272&lt;&gt;"",P272-B272,TODAY()-B272))</f>
        <v/>
      </c>
      <c r="R272" s="15" t="n"/>
    </row>
    <row r="273">
      <c r="A273" s="15" t="n"/>
      <c r="B273" s="15" t="n"/>
      <c r="C273" s="15" t="n"/>
      <c r="D273" s="15" t="n"/>
      <c r="E273" s="15" t="n"/>
      <c r="F273" s="15" t="n"/>
      <c r="G273" s="15" t="n"/>
      <c r="H273" s="15" t="n"/>
      <c r="I273" s="15" t="n"/>
      <c r="J273" s="15" t="inlineStr">
        <is>
          <t>Không</t>
        </is>
      </c>
      <c r="K273" s="15" t="n"/>
      <c r="L273" s="15" t="n"/>
      <c r="M273" s="15" t="inlineStr">
        <is>
          <t>Mở</t>
        </is>
      </c>
      <c r="N273" s="15" t="n"/>
      <c r="O273" s="15">
        <f>IF(OR(B273="",L273=""),"",B273+IF(L273="P0",0,IF(L273="P1",7,IF(L273="P2",30,90))))</f>
        <v/>
      </c>
      <c r="P273" s="15" t="n"/>
      <c r="Q273" s="15">
        <f>IF(B273="","",IF(P273&lt;&gt;"",P273-B273,TODAY()-B273))</f>
        <v/>
      </c>
      <c r="R273" s="15" t="n"/>
    </row>
    <row r="274">
      <c r="A274" s="15" t="n"/>
      <c r="B274" s="15" t="n"/>
      <c r="C274" s="15" t="n"/>
      <c r="D274" s="15" t="n"/>
      <c r="E274" s="15" t="n"/>
      <c r="F274" s="15" t="n"/>
      <c r="G274" s="15" t="n"/>
      <c r="H274" s="15" t="n"/>
      <c r="I274" s="15" t="n"/>
      <c r="J274" s="15" t="inlineStr">
        <is>
          <t>Không</t>
        </is>
      </c>
      <c r="K274" s="15" t="n"/>
      <c r="L274" s="15" t="n"/>
      <c r="M274" s="15" t="inlineStr">
        <is>
          <t>Mở</t>
        </is>
      </c>
      <c r="N274" s="15" t="n"/>
      <c r="O274" s="15">
        <f>IF(OR(B274="",L274=""),"",B274+IF(L274="P0",0,IF(L274="P1",7,IF(L274="P2",30,90))))</f>
        <v/>
      </c>
      <c r="P274" s="15" t="n"/>
      <c r="Q274" s="15">
        <f>IF(B274="","",IF(P274&lt;&gt;"",P274-B274,TODAY()-B274))</f>
        <v/>
      </c>
      <c r="R274" s="15" t="n"/>
    </row>
    <row r="275">
      <c r="A275" s="15" t="n"/>
      <c r="B275" s="15" t="n"/>
      <c r="C275" s="15" t="n"/>
      <c r="D275" s="15" t="n"/>
      <c r="E275" s="15" t="n"/>
      <c r="F275" s="15" t="n"/>
      <c r="G275" s="15" t="n"/>
      <c r="H275" s="15" t="n"/>
      <c r="I275" s="15" t="n"/>
      <c r="J275" s="15" t="inlineStr">
        <is>
          <t>Không</t>
        </is>
      </c>
      <c r="K275" s="15" t="n"/>
      <c r="L275" s="15" t="n"/>
      <c r="M275" s="15" t="inlineStr">
        <is>
          <t>Mở</t>
        </is>
      </c>
      <c r="N275" s="15" t="n"/>
      <c r="O275" s="15">
        <f>IF(OR(B275="",L275=""),"",B275+IF(L275="P0",0,IF(L275="P1",7,IF(L275="P2",30,90))))</f>
        <v/>
      </c>
      <c r="P275" s="15" t="n"/>
      <c r="Q275" s="15">
        <f>IF(B275="","",IF(P275&lt;&gt;"",P275-B275,TODAY()-B275))</f>
        <v/>
      </c>
      <c r="R275" s="15" t="n"/>
    </row>
    <row r="276">
      <c r="A276" s="15" t="n"/>
      <c r="B276" s="15" t="n"/>
      <c r="C276" s="15" t="n"/>
      <c r="D276" s="15" t="n"/>
      <c r="E276" s="15" t="n"/>
      <c r="F276" s="15" t="n"/>
      <c r="G276" s="15" t="n"/>
      <c r="H276" s="15" t="n"/>
      <c r="I276" s="15" t="n"/>
      <c r="J276" s="15" t="inlineStr">
        <is>
          <t>Không</t>
        </is>
      </c>
      <c r="K276" s="15" t="n"/>
      <c r="L276" s="15" t="n"/>
      <c r="M276" s="15" t="inlineStr">
        <is>
          <t>Mở</t>
        </is>
      </c>
      <c r="N276" s="15" t="n"/>
      <c r="O276" s="15">
        <f>IF(OR(B276="",L276=""),"",B276+IF(L276="P0",0,IF(L276="P1",7,IF(L276="P2",30,90))))</f>
        <v/>
      </c>
      <c r="P276" s="15" t="n"/>
      <c r="Q276" s="15">
        <f>IF(B276="","",IF(P276&lt;&gt;"",P276-B276,TODAY()-B276))</f>
        <v/>
      </c>
      <c r="R276" s="15" t="n"/>
    </row>
    <row r="277">
      <c r="A277" s="15" t="n"/>
      <c r="B277" s="15" t="n"/>
      <c r="C277" s="15" t="n"/>
      <c r="D277" s="15" t="n"/>
      <c r="E277" s="15" t="n"/>
      <c r="F277" s="15" t="n"/>
      <c r="G277" s="15" t="n"/>
      <c r="H277" s="15" t="n"/>
      <c r="I277" s="15" t="n"/>
      <c r="J277" s="15" t="inlineStr">
        <is>
          <t>Không</t>
        </is>
      </c>
      <c r="K277" s="15" t="n"/>
      <c r="L277" s="15" t="n"/>
      <c r="M277" s="15" t="inlineStr">
        <is>
          <t>Mở</t>
        </is>
      </c>
      <c r="N277" s="15" t="n"/>
      <c r="O277" s="15">
        <f>IF(OR(B277="",L277=""),"",B277+IF(L277="P0",0,IF(L277="P1",7,IF(L277="P2",30,90))))</f>
        <v/>
      </c>
      <c r="P277" s="15" t="n"/>
      <c r="Q277" s="15">
        <f>IF(B277="","",IF(P277&lt;&gt;"",P277-B277,TODAY()-B277))</f>
        <v/>
      </c>
      <c r="R277" s="15" t="n"/>
    </row>
    <row r="278">
      <c r="A278" s="15" t="n"/>
      <c r="B278" s="15" t="n"/>
      <c r="C278" s="15" t="n"/>
      <c r="D278" s="15" t="n"/>
      <c r="E278" s="15" t="n"/>
      <c r="F278" s="15" t="n"/>
      <c r="G278" s="15" t="n"/>
      <c r="H278" s="15" t="n"/>
      <c r="I278" s="15" t="n"/>
      <c r="J278" s="15" t="inlineStr">
        <is>
          <t>Không</t>
        </is>
      </c>
      <c r="K278" s="15" t="n"/>
      <c r="L278" s="15" t="n"/>
      <c r="M278" s="15" t="inlineStr">
        <is>
          <t>Mở</t>
        </is>
      </c>
      <c r="N278" s="15" t="n"/>
      <c r="O278" s="15">
        <f>IF(OR(B278="",L278=""),"",B278+IF(L278="P0",0,IF(L278="P1",7,IF(L278="P2",30,90))))</f>
        <v/>
      </c>
      <c r="P278" s="15" t="n"/>
      <c r="Q278" s="15">
        <f>IF(B278="","",IF(P278&lt;&gt;"",P278-B278,TODAY()-B278))</f>
        <v/>
      </c>
      <c r="R278" s="15" t="n"/>
    </row>
    <row r="279">
      <c r="A279" s="15" t="n"/>
      <c r="B279" s="15" t="n"/>
      <c r="C279" s="15" t="n"/>
      <c r="D279" s="15" t="n"/>
      <c r="E279" s="15" t="n"/>
      <c r="F279" s="15" t="n"/>
      <c r="G279" s="15" t="n"/>
      <c r="H279" s="15" t="n"/>
      <c r="I279" s="15" t="n"/>
      <c r="J279" s="15" t="inlineStr">
        <is>
          <t>Không</t>
        </is>
      </c>
      <c r="K279" s="15" t="n"/>
      <c r="L279" s="15" t="n"/>
      <c r="M279" s="15" t="inlineStr">
        <is>
          <t>Mở</t>
        </is>
      </c>
      <c r="N279" s="15" t="n"/>
      <c r="O279" s="15">
        <f>IF(OR(B279="",L279=""),"",B279+IF(L279="P0",0,IF(L279="P1",7,IF(L279="P2",30,90))))</f>
        <v/>
      </c>
      <c r="P279" s="15" t="n"/>
      <c r="Q279" s="15">
        <f>IF(B279="","",IF(P279&lt;&gt;"",P279-B279,TODAY()-B279))</f>
        <v/>
      </c>
      <c r="R279" s="15" t="n"/>
    </row>
    <row r="280">
      <c r="A280" s="15" t="n"/>
      <c r="B280" s="15" t="n"/>
      <c r="C280" s="15" t="n"/>
      <c r="D280" s="15" t="n"/>
      <c r="E280" s="15" t="n"/>
      <c r="F280" s="15" t="n"/>
      <c r="G280" s="15" t="n"/>
      <c r="H280" s="15" t="n"/>
      <c r="I280" s="15" t="n"/>
      <c r="J280" s="15" t="inlineStr">
        <is>
          <t>Không</t>
        </is>
      </c>
      <c r="K280" s="15" t="n"/>
      <c r="L280" s="15" t="n"/>
      <c r="M280" s="15" t="inlineStr">
        <is>
          <t>Mở</t>
        </is>
      </c>
      <c r="N280" s="15" t="n"/>
      <c r="O280" s="15">
        <f>IF(OR(B280="",L280=""),"",B280+IF(L280="P0",0,IF(L280="P1",7,IF(L280="P2",30,90))))</f>
        <v/>
      </c>
      <c r="P280" s="15" t="n"/>
      <c r="Q280" s="15">
        <f>IF(B280="","",IF(P280&lt;&gt;"",P280-B280,TODAY()-B280))</f>
        <v/>
      </c>
      <c r="R280" s="15" t="n"/>
    </row>
    <row r="281">
      <c r="A281" s="15" t="n"/>
      <c r="B281" s="15" t="n"/>
      <c r="C281" s="15" t="n"/>
      <c r="D281" s="15" t="n"/>
      <c r="E281" s="15" t="n"/>
      <c r="F281" s="15" t="n"/>
      <c r="G281" s="15" t="n"/>
      <c r="H281" s="15" t="n"/>
      <c r="I281" s="15" t="n"/>
      <c r="J281" s="15" t="inlineStr">
        <is>
          <t>Không</t>
        </is>
      </c>
      <c r="K281" s="15" t="n"/>
      <c r="L281" s="15" t="n"/>
      <c r="M281" s="15" t="inlineStr">
        <is>
          <t>Mở</t>
        </is>
      </c>
      <c r="N281" s="15" t="n"/>
      <c r="O281" s="15">
        <f>IF(OR(B281="",L281=""),"",B281+IF(L281="P0",0,IF(L281="P1",7,IF(L281="P2",30,90))))</f>
        <v/>
      </c>
      <c r="P281" s="15" t="n"/>
      <c r="Q281" s="15">
        <f>IF(B281="","",IF(P281&lt;&gt;"",P281-B281,TODAY()-B281))</f>
        <v/>
      </c>
      <c r="R281" s="15" t="n"/>
    </row>
    <row r="282">
      <c r="A282" s="15" t="n"/>
      <c r="B282" s="15" t="n"/>
      <c r="C282" s="15" t="n"/>
      <c r="D282" s="15" t="n"/>
      <c r="E282" s="15" t="n"/>
      <c r="F282" s="15" t="n"/>
      <c r="G282" s="15" t="n"/>
      <c r="H282" s="15" t="n"/>
      <c r="I282" s="15" t="n"/>
      <c r="J282" s="15" t="inlineStr">
        <is>
          <t>Không</t>
        </is>
      </c>
      <c r="K282" s="15" t="n"/>
      <c r="L282" s="15" t="n"/>
      <c r="M282" s="15" t="inlineStr">
        <is>
          <t>Mở</t>
        </is>
      </c>
      <c r="N282" s="15" t="n"/>
      <c r="O282" s="15">
        <f>IF(OR(B282="",L282=""),"",B282+IF(L282="P0",0,IF(L282="P1",7,IF(L282="P2",30,90))))</f>
        <v/>
      </c>
      <c r="P282" s="15" t="n"/>
      <c r="Q282" s="15">
        <f>IF(B282="","",IF(P282&lt;&gt;"",P282-B282,TODAY()-B282))</f>
        <v/>
      </c>
      <c r="R282" s="15" t="n"/>
    </row>
    <row r="283">
      <c r="A283" s="15" t="n"/>
      <c r="B283" s="15" t="n"/>
      <c r="C283" s="15" t="n"/>
      <c r="D283" s="15" t="n"/>
      <c r="E283" s="15" t="n"/>
      <c r="F283" s="15" t="n"/>
      <c r="G283" s="15" t="n"/>
      <c r="H283" s="15" t="n"/>
      <c r="I283" s="15" t="n"/>
      <c r="J283" s="15" t="inlineStr">
        <is>
          <t>Không</t>
        </is>
      </c>
      <c r="K283" s="15" t="n"/>
      <c r="L283" s="15" t="n"/>
      <c r="M283" s="15" t="inlineStr">
        <is>
          <t>Mở</t>
        </is>
      </c>
      <c r="N283" s="15" t="n"/>
      <c r="O283" s="15">
        <f>IF(OR(B283="",L283=""),"",B283+IF(L283="P0",0,IF(L283="P1",7,IF(L283="P2",30,90))))</f>
        <v/>
      </c>
      <c r="P283" s="15" t="n"/>
      <c r="Q283" s="15">
        <f>IF(B283="","",IF(P283&lt;&gt;"",P283-B283,TODAY()-B283))</f>
        <v/>
      </c>
      <c r="R283" s="15" t="n"/>
    </row>
    <row r="284">
      <c r="A284" s="15" t="n"/>
      <c r="B284" s="15" t="n"/>
      <c r="C284" s="15" t="n"/>
      <c r="D284" s="15" t="n"/>
      <c r="E284" s="15" t="n"/>
      <c r="F284" s="15" t="n"/>
      <c r="G284" s="15" t="n"/>
      <c r="H284" s="15" t="n"/>
      <c r="I284" s="15" t="n"/>
      <c r="J284" s="15" t="inlineStr">
        <is>
          <t>Không</t>
        </is>
      </c>
      <c r="K284" s="15" t="n"/>
      <c r="L284" s="15" t="n"/>
      <c r="M284" s="15" t="inlineStr">
        <is>
          <t>Mở</t>
        </is>
      </c>
      <c r="N284" s="15" t="n"/>
      <c r="O284" s="15">
        <f>IF(OR(B284="",L284=""),"",B284+IF(L284="P0",0,IF(L284="P1",7,IF(L284="P2",30,90))))</f>
        <v/>
      </c>
      <c r="P284" s="15" t="n"/>
      <c r="Q284" s="15">
        <f>IF(B284="","",IF(P284&lt;&gt;"",P284-B284,TODAY()-B284))</f>
        <v/>
      </c>
      <c r="R284" s="15" t="n"/>
    </row>
    <row r="285">
      <c r="A285" s="15" t="n"/>
      <c r="B285" s="15" t="n"/>
      <c r="C285" s="15" t="n"/>
      <c r="D285" s="15" t="n"/>
      <c r="E285" s="15" t="n"/>
      <c r="F285" s="15" t="n"/>
      <c r="G285" s="15" t="n"/>
      <c r="H285" s="15" t="n"/>
      <c r="I285" s="15" t="n"/>
      <c r="J285" s="15" t="inlineStr">
        <is>
          <t>Không</t>
        </is>
      </c>
      <c r="K285" s="15" t="n"/>
      <c r="L285" s="15" t="n"/>
      <c r="M285" s="15" t="inlineStr">
        <is>
          <t>Mở</t>
        </is>
      </c>
      <c r="N285" s="15" t="n"/>
      <c r="O285" s="15">
        <f>IF(OR(B285="",L285=""),"",B285+IF(L285="P0",0,IF(L285="P1",7,IF(L285="P2",30,90))))</f>
        <v/>
      </c>
      <c r="P285" s="15" t="n"/>
      <c r="Q285" s="15">
        <f>IF(B285="","",IF(P285&lt;&gt;"",P285-B285,TODAY()-B285))</f>
        <v/>
      </c>
      <c r="R285" s="15" t="n"/>
    </row>
    <row r="286">
      <c r="A286" s="15" t="n"/>
      <c r="B286" s="15" t="n"/>
      <c r="C286" s="15" t="n"/>
      <c r="D286" s="15" t="n"/>
      <c r="E286" s="15" t="n"/>
      <c r="F286" s="15" t="n"/>
      <c r="G286" s="15" t="n"/>
      <c r="H286" s="15" t="n"/>
      <c r="I286" s="15" t="n"/>
      <c r="J286" s="15" t="inlineStr">
        <is>
          <t>Không</t>
        </is>
      </c>
      <c r="K286" s="15" t="n"/>
      <c r="L286" s="15" t="n"/>
      <c r="M286" s="15" t="inlineStr">
        <is>
          <t>Mở</t>
        </is>
      </c>
      <c r="N286" s="15" t="n"/>
      <c r="O286" s="15">
        <f>IF(OR(B286="",L286=""),"",B286+IF(L286="P0",0,IF(L286="P1",7,IF(L286="P2",30,90))))</f>
        <v/>
      </c>
      <c r="P286" s="15" t="n"/>
      <c r="Q286" s="15">
        <f>IF(B286="","",IF(P286&lt;&gt;"",P286-B286,TODAY()-B286))</f>
        <v/>
      </c>
      <c r="R286" s="15" t="n"/>
    </row>
    <row r="287">
      <c r="A287" s="15" t="n"/>
      <c r="B287" s="15" t="n"/>
      <c r="C287" s="15" t="n"/>
      <c r="D287" s="15" t="n"/>
      <c r="E287" s="15" t="n"/>
      <c r="F287" s="15" t="n"/>
      <c r="G287" s="15" t="n"/>
      <c r="H287" s="15" t="n"/>
      <c r="I287" s="15" t="n"/>
      <c r="J287" s="15" t="inlineStr">
        <is>
          <t>Không</t>
        </is>
      </c>
      <c r="K287" s="15" t="n"/>
      <c r="L287" s="15" t="n"/>
      <c r="M287" s="15" t="inlineStr">
        <is>
          <t>Mở</t>
        </is>
      </c>
      <c r="N287" s="15" t="n"/>
      <c r="O287" s="15">
        <f>IF(OR(B287="",L287=""),"",B287+IF(L287="P0",0,IF(L287="P1",7,IF(L287="P2",30,90))))</f>
        <v/>
      </c>
      <c r="P287" s="15" t="n"/>
      <c r="Q287" s="15">
        <f>IF(B287="","",IF(P287&lt;&gt;"",P287-B287,TODAY()-B287))</f>
        <v/>
      </c>
      <c r="R287" s="15" t="n"/>
    </row>
    <row r="288">
      <c r="A288" s="15" t="n"/>
      <c r="B288" s="15" t="n"/>
      <c r="C288" s="15" t="n"/>
      <c r="D288" s="15" t="n"/>
      <c r="E288" s="15" t="n"/>
      <c r="F288" s="15" t="n"/>
      <c r="G288" s="15" t="n"/>
      <c r="H288" s="15" t="n"/>
      <c r="I288" s="15" t="n"/>
      <c r="J288" s="15" t="inlineStr">
        <is>
          <t>Không</t>
        </is>
      </c>
      <c r="K288" s="15" t="n"/>
      <c r="L288" s="15" t="n"/>
      <c r="M288" s="15" t="inlineStr">
        <is>
          <t>Mở</t>
        </is>
      </c>
      <c r="N288" s="15" t="n"/>
      <c r="O288" s="15">
        <f>IF(OR(B288="",L288=""),"",B288+IF(L288="P0",0,IF(L288="P1",7,IF(L288="P2",30,90))))</f>
        <v/>
      </c>
      <c r="P288" s="15" t="n"/>
      <c r="Q288" s="15">
        <f>IF(B288="","",IF(P288&lt;&gt;"",P288-B288,TODAY()-B288))</f>
        <v/>
      </c>
      <c r="R288" s="15" t="n"/>
    </row>
    <row r="289">
      <c r="A289" s="15" t="n"/>
      <c r="B289" s="15" t="n"/>
      <c r="C289" s="15" t="n"/>
      <c r="D289" s="15" t="n"/>
      <c r="E289" s="15" t="n"/>
      <c r="F289" s="15" t="n"/>
      <c r="G289" s="15" t="n"/>
      <c r="H289" s="15" t="n"/>
      <c r="I289" s="15" t="n"/>
      <c r="J289" s="15" t="inlineStr">
        <is>
          <t>Không</t>
        </is>
      </c>
      <c r="K289" s="15" t="n"/>
      <c r="L289" s="15" t="n"/>
      <c r="M289" s="15" t="inlineStr">
        <is>
          <t>Mở</t>
        </is>
      </c>
      <c r="N289" s="15" t="n"/>
      <c r="O289" s="15">
        <f>IF(OR(B289="",L289=""),"",B289+IF(L289="P0",0,IF(L289="P1",7,IF(L289="P2",30,90))))</f>
        <v/>
      </c>
      <c r="P289" s="15" t="n"/>
      <c r="Q289" s="15">
        <f>IF(B289="","",IF(P289&lt;&gt;"",P289-B289,TODAY()-B289))</f>
        <v/>
      </c>
      <c r="R289" s="15" t="n"/>
    </row>
    <row r="290">
      <c r="A290" s="15" t="n"/>
      <c r="B290" s="15" t="n"/>
      <c r="C290" s="15" t="n"/>
      <c r="D290" s="15" t="n"/>
      <c r="E290" s="15" t="n"/>
      <c r="F290" s="15" t="n"/>
      <c r="G290" s="15" t="n"/>
      <c r="H290" s="15" t="n"/>
      <c r="I290" s="15" t="n"/>
      <c r="J290" s="15" t="inlineStr">
        <is>
          <t>Không</t>
        </is>
      </c>
      <c r="K290" s="15" t="n"/>
      <c r="L290" s="15" t="n"/>
      <c r="M290" s="15" t="inlineStr">
        <is>
          <t>Mở</t>
        </is>
      </c>
      <c r="N290" s="15" t="n"/>
      <c r="O290" s="15">
        <f>IF(OR(B290="",L290=""),"",B290+IF(L290="P0",0,IF(L290="P1",7,IF(L290="P2",30,90))))</f>
        <v/>
      </c>
      <c r="P290" s="15" t="n"/>
      <c r="Q290" s="15">
        <f>IF(B290="","",IF(P290&lt;&gt;"",P290-B290,TODAY()-B290))</f>
        <v/>
      </c>
      <c r="R290" s="15" t="n"/>
    </row>
    <row r="291">
      <c r="A291" s="15" t="n"/>
      <c r="B291" s="15" t="n"/>
      <c r="C291" s="15" t="n"/>
      <c r="D291" s="15" t="n"/>
      <c r="E291" s="15" t="n"/>
      <c r="F291" s="15" t="n"/>
      <c r="G291" s="15" t="n"/>
      <c r="H291" s="15" t="n"/>
      <c r="I291" s="15" t="n"/>
      <c r="J291" s="15" t="inlineStr">
        <is>
          <t>Không</t>
        </is>
      </c>
      <c r="K291" s="15" t="n"/>
      <c r="L291" s="15" t="n"/>
      <c r="M291" s="15" t="inlineStr">
        <is>
          <t>Mở</t>
        </is>
      </c>
      <c r="N291" s="15" t="n"/>
      <c r="O291" s="15">
        <f>IF(OR(B291="",L291=""),"",B291+IF(L291="P0",0,IF(L291="P1",7,IF(L291="P2",30,90))))</f>
        <v/>
      </c>
      <c r="P291" s="15" t="n"/>
      <c r="Q291" s="15">
        <f>IF(B291="","",IF(P291&lt;&gt;"",P291-B291,TODAY()-B291))</f>
        <v/>
      </c>
      <c r="R291" s="15" t="n"/>
    </row>
    <row r="292">
      <c r="A292" s="15" t="n"/>
      <c r="B292" s="15" t="n"/>
      <c r="C292" s="15" t="n"/>
      <c r="D292" s="15" t="n"/>
      <c r="E292" s="15" t="n"/>
      <c r="F292" s="15" t="n"/>
      <c r="G292" s="15" t="n"/>
      <c r="H292" s="15" t="n"/>
      <c r="I292" s="15" t="n"/>
      <c r="J292" s="15" t="inlineStr">
        <is>
          <t>Không</t>
        </is>
      </c>
      <c r="K292" s="15" t="n"/>
      <c r="L292" s="15" t="n"/>
      <c r="M292" s="15" t="inlineStr">
        <is>
          <t>Mở</t>
        </is>
      </c>
      <c r="N292" s="15" t="n"/>
      <c r="O292" s="15">
        <f>IF(OR(B292="",L292=""),"",B292+IF(L292="P0",0,IF(L292="P1",7,IF(L292="P2",30,90))))</f>
        <v/>
      </c>
      <c r="P292" s="15" t="n"/>
      <c r="Q292" s="15">
        <f>IF(B292="","",IF(P292&lt;&gt;"",P292-B292,TODAY()-B292))</f>
        <v/>
      </c>
      <c r="R292" s="15" t="n"/>
    </row>
    <row r="293">
      <c r="A293" s="15" t="n"/>
      <c r="B293" s="15" t="n"/>
      <c r="C293" s="15" t="n"/>
      <c r="D293" s="15" t="n"/>
      <c r="E293" s="15" t="n"/>
      <c r="F293" s="15" t="n"/>
      <c r="G293" s="15" t="n"/>
      <c r="H293" s="15" t="n"/>
      <c r="I293" s="15" t="n"/>
      <c r="J293" s="15" t="inlineStr">
        <is>
          <t>Không</t>
        </is>
      </c>
      <c r="K293" s="15" t="n"/>
      <c r="L293" s="15" t="n"/>
      <c r="M293" s="15" t="inlineStr">
        <is>
          <t>Mở</t>
        </is>
      </c>
      <c r="N293" s="15" t="n"/>
      <c r="O293" s="15">
        <f>IF(OR(B293="",L293=""),"",B293+IF(L293="P0",0,IF(L293="P1",7,IF(L293="P2",30,90))))</f>
        <v/>
      </c>
      <c r="P293" s="15" t="n"/>
      <c r="Q293" s="15">
        <f>IF(B293="","",IF(P293&lt;&gt;"",P293-B293,TODAY()-B293))</f>
        <v/>
      </c>
      <c r="R293" s="15" t="n"/>
    </row>
    <row r="294">
      <c r="A294" s="15" t="n"/>
      <c r="B294" s="15" t="n"/>
      <c r="C294" s="15" t="n"/>
      <c r="D294" s="15" t="n"/>
      <c r="E294" s="15" t="n"/>
      <c r="F294" s="15" t="n"/>
      <c r="G294" s="15" t="n"/>
      <c r="H294" s="15" t="n"/>
      <c r="I294" s="15" t="n"/>
      <c r="J294" s="15" t="inlineStr">
        <is>
          <t>Không</t>
        </is>
      </c>
      <c r="K294" s="15" t="n"/>
      <c r="L294" s="15" t="n"/>
      <c r="M294" s="15" t="inlineStr">
        <is>
          <t>Mở</t>
        </is>
      </c>
      <c r="N294" s="15" t="n"/>
      <c r="O294" s="15">
        <f>IF(OR(B294="",L294=""),"",B294+IF(L294="P0",0,IF(L294="P1",7,IF(L294="P2",30,90))))</f>
        <v/>
      </c>
      <c r="P294" s="15" t="n"/>
      <c r="Q294" s="15">
        <f>IF(B294="","",IF(P294&lt;&gt;"",P294-B294,TODAY()-B294))</f>
        <v/>
      </c>
      <c r="R294" s="15" t="n"/>
    </row>
    <row r="295">
      <c r="A295" s="15" t="n"/>
      <c r="B295" s="15" t="n"/>
      <c r="C295" s="15" t="n"/>
      <c r="D295" s="15" t="n"/>
      <c r="E295" s="15" t="n"/>
      <c r="F295" s="15" t="n"/>
      <c r="G295" s="15" t="n"/>
      <c r="H295" s="15" t="n"/>
      <c r="I295" s="15" t="n"/>
      <c r="J295" s="15" t="inlineStr">
        <is>
          <t>Không</t>
        </is>
      </c>
      <c r="K295" s="15" t="n"/>
      <c r="L295" s="15" t="n"/>
      <c r="M295" s="15" t="inlineStr">
        <is>
          <t>Mở</t>
        </is>
      </c>
      <c r="N295" s="15" t="n"/>
      <c r="O295" s="15">
        <f>IF(OR(B295="",L295=""),"",B295+IF(L295="P0",0,IF(L295="P1",7,IF(L295="P2",30,90))))</f>
        <v/>
      </c>
      <c r="P295" s="15" t="n"/>
      <c r="Q295" s="15">
        <f>IF(B295="","",IF(P295&lt;&gt;"",P295-B295,TODAY()-B295))</f>
        <v/>
      </c>
      <c r="R295" s="15" t="n"/>
    </row>
    <row r="296">
      <c r="A296" s="15" t="n"/>
      <c r="B296" s="15" t="n"/>
      <c r="C296" s="15" t="n"/>
      <c r="D296" s="15" t="n"/>
      <c r="E296" s="15" t="n"/>
      <c r="F296" s="15" t="n"/>
      <c r="G296" s="15" t="n"/>
      <c r="H296" s="15" t="n"/>
      <c r="I296" s="15" t="n"/>
      <c r="J296" s="15" t="inlineStr">
        <is>
          <t>Không</t>
        </is>
      </c>
      <c r="K296" s="15" t="n"/>
      <c r="L296" s="15" t="n"/>
      <c r="M296" s="15" t="inlineStr">
        <is>
          <t>Mở</t>
        </is>
      </c>
      <c r="N296" s="15" t="n"/>
      <c r="O296" s="15">
        <f>IF(OR(B296="",L296=""),"",B296+IF(L296="P0",0,IF(L296="P1",7,IF(L296="P2",30,90))))</f>
        <v/>
      </c>
      <c r="P296" s="15" t="n"/>
      <c r="Q296" s="15">
        <f>IF(B296="","",IF(P296&lt;&gt;"",P296-B296,TODAY()-B296))</f>
        <v/>
      </c>
      <c r="R296" s="15" t="n"/>
    </row>
    <row r="297">
      <c r="A297" s="15" t="n"/>
      <c r="B297" s="15" t="n"/>
      <c r="C297" s="15" t="n"/>
      <c r="D297" s="15" t="n"/>
      <c r="E297" s="15" t="n"/>
      <c r="F297" s="15" t="n"/>
      <c r="G297" s="15" t="n"/>
      <c r="H297" s="15" t="n"/>
      <c r="I297" s="15" t="n"/>
      <c r="J297" s="15" t="inlineStr">
        <is>
          <t>Không</t>
        </is>
      </c>
      <c r="K297" s="15" t="n"/>
      <c r="L297" s="15" t="n"/>
      <c r="M297" s="15" t="inlineStr">
        <is>
          <t>Mở</t>
        </is>
      </c>
      <c r="N297" s="15" t="n"/>
      <c r="O297" s="15">
        <f>IF(OR(B297="",L297=""),"",B297+IF(L297="P0",0,IF(L297="P1",7,IF(L297="P2",30,90))))</f>
        <v/>
      </c>
      <c r="P297" s="15" t="n"/>
      <c r="Q297" s="15">
        <f>IF(B297="","",IF(P297&lt;&gt;"",P297-B297,TODAY()-B297))</f>
        <v/>
      </c>
      <c r="R297" s="15" t="n"/>
    </row>
    <row r="298">
      <c r="A298" s="15" t="n"/>
      <c r="B298" s="15" t="n"/>
      <c r="C298" s="15" t="n"/>
      <c r="D298" s="15" t="n"/>
      <c r="E298" s="15" t="n"/>
      <c r="F298" s="15" t="n"/>
      <c r="G298" s="15" t="n"/>
      <c r="H298" s="15" t="n"/>
      <c r="I298" s="15" t="n"/>
      <c r="J298" s="15" t="inlineStr">
        <is>
          <t>Không</t>
        </is>
      </c>
      <c r="K298" s="15" t="n"/>
      <c r="L298" s="15" t="n"/>
      <c r="M298" s="15" t="inlineStr">
        <is>
          <t>Mở</t>
        </is>
      </c>
      <c r="N298" s="15" t="n"/>
      <c r="O298" s="15">
        <f>IF(OR(B298="",L298=""),"",B298+IF(L298="P0",0,IF(L298="P1",7,IF(L298="P2",30,90))))</f>
        <v/>
      </c>
      <c r="P298" s="15" t="n"/>
      <c r="Q298" s="15">
        <f>IF(B298="","",IF(P298&lt;&gt;"",P298-B298,TODAY()-B298))</f>
        <v/>
      </c>
      <c r="R298" s="15" t="n"/>
    </row>
    <row r="299">
      <c r="A299" s="15" t="n"/>
      <c r="B299" s="15" t="n"/>
      <c r="C299" s="15" t="n"/>
      <c r="D299" s="15" t="n"/>
      <c r="E299" s="15" t="n"/>
      <c r="F299" s="15" t="n"/>
      <c r="G299" s="15" t="n"/>
      <c r="H299" s="15" t="n"/>
      <c r="I299" s="15" t="n"/>
      <c r="J299" s="15" t="inlineStr">
        <is>
          <t>Không</t>
        </is>
      </c>
      <c r="K299" s="15" t="n"/>
      <c r="L299" s="15" t="n"/>
      <c r="M299" s="15" t="inlineStr">
        <is>
          <t>Mở</t>
        </is>
      </c>
      <c r="N299" s="15" t="n"/>
      <c r="O299" s="15">
        <f>IF(OR(B299="",L299=""),"",B299+IF(L299="P0",0,IF(L299="P1",7,IF(L299="P2",30,90))))</f>
        <v/>
      </c>
      <c r="P299" s="15" t="n"/>
      <c r="Q299" s="15">
        <f>IF(B299="","",IF(P299&lt;&gt;"",P299-B299,TODAY()-B299))</f>
        <v/>
      </c>
      <c r="R299" s="15" t="n"/>
    </row>
    <row r="300">
      <c r="A300" s="15" t="n"/>
      <c r="B300" s="15" t="n"/>
      <c r="C300" s="15" t="n"/>
      <c r="D300" s="15" t="n"/>
      <c r="E300" s="15" t="n"/>
      <c r="F300" s="15" t="n"/>
      <c r="G300" s="15" t="n"/>
      <c r="H300" s="15" t="n"/>
      <c r="I300" s="15" t="n"/>
      <c r="J300" s="15" t="inlineStr">
        <is>
          <t>Không</t>
        </is>
      </c>
      <c r="K300" s="15" t="n"/>
      <c r="L300" s="15" t="n"/>
      <c r="M300" s="15" t="inlineStr">
        <is>
          <t>Mở</t>
        </is>
      </c>
      <c r="N300" s="15" t="n"/>
      <c r="O300" s="15">
        <f>IF(OR(B300="",L300=""),"",B300+IF(L300="P0",0,IF(L300="P1",7,IF(L300="P2",30,90))))</f>
        <v/>
      </c>
      <c r="P300" s="15" t="n"/>
      <c r="Q300" s="15">
        <f>IF(B300="","",IF(P300&lt;&gt;"",P300-B300,TODAY()-B300))</f>
        <v/>
      </c>
      <c r="R300" s="15" t="n"/>
    </row>
    <row r="301">
      <c r="A301" s="15" t="n"/>
      <c r="B301" s="15" t="n"/>
      <c r="C301" s="15" t="n"/>
      <c r="D301" s="15" t="n"/>
      <c r="E301" s="15" t="n"/>
      <c r="F301" s="15" t="n"/>
      <c r="G301" s="15" t="n"/>
      <c r="H301" s="15" t="n"/>
      <c r="I301" s="15" t="n"/>
      <c r="J301" s="15" t="inlineStr">
        <is>
          <t>Không</t>
        </is>
      </c>
      <c r="K301" s="15" t="n"/>
      <c r="L301" s="15" t="n"/>
      <c r="M301" s="15" t="inlineStr">
        <is>
          <t>Mở</t>
        </is>
      </c>
      <c r="N301" s="15" t="n"/>
      <c r="O301" s="15">
        <f>IF(OR(B301="",L301=""),"",B301+IF(L301="P0",0,IF(L301="P1",7,IF(L301="P2",30,90))))</f>
        <v/>
      </c>
      <c r="P301" s="15" t="n"/>
      <c r="Q301" s="15">
        <f>IF(B301="","",IF(P301&lt;&gt;"",P301-B301,TODAY()-B301))</f>
        <v/>
      </c>
      <c r="R301" s="15" t="n"/>
    </row>
    <row r="302">
      <c r="A302" s="15" t="n"/>
      <c r="B302" s="15" t="n"/>
      <c r="C302" s="15" t="n"/>
      <c r="D302" s="15" t="n"/>
      <c r="E302" s="15" t="n"/>
      <c r="F302" s="15" t="n"/>
      <c r="G302" s="15" t="n"/>
      <c r="H302" s="15" t="n"/>
      <c r="I302" s="15" t="n"/>
      <c r="J302" s="15" t="inlineStr">
        <is>
          <t>Không</t>
        </is>
      </c>
      <c r="K302" s="15" t="n"/>
      <c r="L302" s="15" t="n"/>
      <c r="M302" s="15" t="inlineStr">
        <is>
          <t>Mở</t>
        </is>
      </c>
      <c r="N302" s="15" t="n"/>
      <c r="O302" s="15">
        <f>IF(OR(B302="",L302=""),"",B302+IF(L302="P0",0,IF(L302="P1",7,IF(L302="P2",30,90))))</f>
        <v/>
      </c>
      <c r="P302" s="15" t="n"/>
      <c r="Q302" s="15">
        <f>IF(B302="","",IF(P302&lt;&gt;"",P302-B302,TODAY()-B302))</f>
        <v/>
      </c>
      <c r="R302" s="15" t="n"/>
    </row>
    <row r="303">
      <c r="A303" s="15" t="n"/>
      <c r="B303" s="15" t="n"/>
      <c r="C303" s="15" t="n"/>
      <c r="D303" s="15" t="n"/>
      <c r="E303" s="15" t="n"/>
      <c r="F303" s="15" t="n"/>
      <c r="G303" s="15" t="n"/>
      <c r="H303" s="15" t="n"/>
      <c r="I303" s="15" t="n"/>
      <c r="J303" s="15" t="inlineStr">
        <is>
          <t>Không</t>
        </is>
      </c>
      <c r="K303" s="15" t="n"/>
      <c r="L303" s="15" t="n"/>
      <c r="M303" s="15" t="inlineStr">
        <is>
          <t>Mở</t>
        </is>
      </c>
      <c r="N303" s="15" t="n"/>
      <c r="O303" s="15">
        <f>IF(OR(B303="",L303=""),"",B303+IF(L303="P0",0,IF(L303="P1",7,IF(L303="P2",30,90))))</f>
        <v/>
      </c>
      <c r="P303" s="15" t="n"/>
      <c r="Q303" s="15">
        <f>IF(B303="","",IF(P303&lt;&gt;"",P303-B303,TODAY()-B303))</f>
        <v/>
      </c>
      <c r="R303" s="15" t="n"/>
    </row>
    <row r="304">
      <c r="A304" s="15" t="n"/>
      <c r="B304" s="15" t="n"/>
      <c r="C304" s="15" t="n"/>
      <c r="D304" s="15" t="n"/>
      <c r="E304" s="15" t="n"/>
      <c r="F304" s="15" t="n"/>
      <c r="G304" s="15" t="n"/>
      <c r="H304" s="15" t="n"/>
      <c r="I304" s="15" t="n"/>
      <c r="J304" s="15" t="inlineStr">
        <is>
          <t>Không</t>
        </is>
      </c>
      <c r="K304" s="15" t="n"/>
      <c r="L304" s="15" t="n"/>
      <c r="M304" s="15" t="inlineStr">
        <is>
          <t>Mở</t>
        </is>
      </c>
      <c r="N304" s="15" t="n"/>
      <c r="O304" s="15">
        <f>IF(OR(B304="",L304=""),"",B304+IF(L304="P0",0,IF(L304="P1",7,IF(L304="P2",30,90))))</f>
        <v/>
      </c>
      <c r="P304" s="15" t="n"/>
      <c r="Q304" s="15">
        <f>IF(B304="","",IF(P304&lt;&gt;"",P304-B304,TODAY()-B304))</f>
        <v/>
      </c>
      <c r="R304" s="15" t="n"/>
    </row>
    <row r="305">
      <c r="A305" s="15" t="n"/>
      <c r="B305" s="15" t="n"/>
      <c r="C305" s="15" t="n"/>
      <c r="D305" s="15" t="n"/>
      <c r="E305" s="15" t="n"/>
      <c r="F305" s="15" t="n"/>
      <c r="G305" s="15" t="n"/>
      <c r="H305" s="15" t="n"/>
      <c r="I305" s="15" t="n"/>
      <c r="J305" s="15" t="inlineStr">
        <is>
          <t>Không</t>
        </is>
      </c>
      <c r="K305" s="15" t="n"/>
      <c r="L305" s="15" t="n"/>
      <c r="M305" s="15" t="inlineStr">
        <is>
          <t>Mở</t>
        </is>
      </c>
      <c r="N305" s="15" t="n"/>
      <c r="O305" s="15">
        <f>IF(OR(B305="",L305=""),"",B305+IF(L305="P0",0,IF(L305="P1",7,IF(L305="P2",30,90))))</f>
        <v/>
      </c>
      <c r="P305" s="15" t="n"/>
      <c r="Q305" s="15">
        <f>IF(B305="","",IF(P305&lt;&gt;"",P305-B305,TODAY()-B305))</f>
        <v/>
      </c>
      <c r="R305" s="15" t="n"/>
    </row>
    <row r="306">
      <c r="A306" s="15" t="n"/>
      <c r="B306" s="15" t="n"/>
      <c r="C306" s="15" t="n"/>
      <c r="D306" s="15" t="n"/>
      <c r="E306" s="15" t="n"/>
      <c r="F306" s="15" t="n"/>
      <c r="G306" s="15" t="n"/>
      <c r="H306" s="15" t="n"/>
      <c r="I306" s="15" t="n"/>
      <c r="J306" s="15" t="inlineStr">
        <is>
          <t>Không</t>
        </is>
      </c>
      <c r="K306" s="15" t="n"/>
      <c r="L306" s="15" t="n"/>
      <c r="M306" s="15" t="inlineStr">
        <is>
          <t>Mở</t>
        </is>
      </c>
      <c r="N306" s="15" t="n"/>
      <c r="O306" s="15">
        <f>IF(OR(B306="",L306=""),"",B306+IF(L306="P0",0,IF(L306="P1",7,IF(L306="P2",30,90))))</f>
        <v/>
      </c>
      <c r="P306" s="15" t="n"/>
      <c r="Q306" s="15">
        <f>IF(B306="","",IF(P306&lt;&gt;"",P306-B306,TODAY()-B306))</f>
        <v/>
      </c>
      <c r="R306" s="15" t="n"/>
    </row>
    <row r="307">
      <c r="A307" s="15" t="n"/>
      <c r="B307" s="15" t="n"/>
      <c r="C307" s="15" t="n"/>
      <c r="D307" s="15" t="n"/>
      <c r="E307" s="15" t="n"/>
      <c r="F307" s="15" t="n"/>
      <c r="G307" s="15" t="n"/>
      <c r="H307" s="15" t="n"/>
      <c r="I307" s="15" t="n"/>
      <c r="J307" s="15" t="inlineStr">
        <is>
          <t>Không</t>
        </is>
      </c>
      <c r="K307" s="15" t="n"/>
      <c r="L307" s="15" t="n"/>
      <c r="M307" s="15" t="inlineStr">
        <is>
          <t>Mở</t>
        </is>
      </c>
      <c r="N307" s="15" t="n"/>
      <c r="O307" s="15">
        <f>IF(OR(B307="",L307=""),"",B307+IF(L307="P0",0,IF(L307="P1",7,IF(L307="P2",30,90))))</f>
        <v/>
      </c>
      <c r="P307" s="15" t="n"/>
      <c r="Q307" s="15">
        <f>IF(B307="","",IF(P307&lt;&gt;"",P307-B307,TODAY()-B307))</f>
        <v/>
      </c>
      <c r="R307" s="15" t="n"/>
    </row>
    <row r="308">
      <c r="A308" s="15" t="n"/>
      <c r="B308" s="15" t="n"/>
      <c r="C308" s="15" t="n"/>
      <c r="D308" s="15" t="n"/>
      <c r="E308" s="15" t="n"/>
      <c r="F308" s="15" t="n"/>
      <c r="G308" s="15" t="n"/>
      <c r="H308" s="15" t="n"/>
      <c r="I308" s="15" t="n"/>
      <c r="J308" s="15" t="inlineStr">
        <is>
          <t>Không</t>
        </is>
      </c>
      <c r="K308" s="15" t="n"/>
      <c r="L308" s="15" t="n"/>
      <c r="M308" s="15" t="inlineStr">
        <is>
          <t>Mở</t>
        </is>
      </c>
      <c r="N308" s="15" t="n"/>
      <c r="O308" s="15">
        <f>IF(OR(B308="",L308=""),"",B308+IF(L308="P0",0,IF(L308="P1",7,IF(L308="P2",30,90))))</f>
        <v/>
      </c>
      <c r="P308" s="15" t="n"/>
      <c r="Q308" s="15">
        <f>IF(B308="","",IF(P308&lt;&gt;"",P308-B308,TODAY()-B308))</f>
        <v/>
      </c>
      <c r="R308" s="15" t="n"/>
    </row>
    <row r="309">
      <c r="A309" s="15" t="n"/>
      <c r="B309" s="15" t="n"/>
      <c r="C309" s="15" t="n"/>
      <c r="D309" s="15" t="n"/>
      <c r="E309" s="15" t="n"/>
      <c r="F309" s="15" t="n"/>
      <c r="G309" s="15" t="n"/>
      <c r="H309" s="15" t="n"/>
      <c r="I309" s="15" t="n"/>
      <c r="J309" s="15" t="inlineStr">
        <is>
          <t>Không</t>
        </is>
      </c>
      <c r="K309" s="15" t="n"/>
      <c r="L309" s="15" t="n"/>
      <c r="M309" s="15" t="inlineStr">
        <is>
          <t>Mở</t>
        </is>
      </c>
      <c r="N309" s="15" t="n"/>
      <c r="O309" s="15">
        <f>IF(OR(B309="",L309=""),"",B309+IF(L309="P0",0,IF(L309="P1",7,IF(L309="P2",30,90))))</f>
        <v/>
      </c>
      <c r="P309" s="15" t="n"/>
      <c r="Q309" s="15">
        <f>IF(B309="","",IF(P309&lt;&gt;"",P309-B309,TODAY()-B309))</f>
        <v/>
      </c>
      <c r="R309" s="15" t="n"/>
    </row>
    <row r="310">
      <c r="A310" s="15" t="n"/>
      <c r="B310" s="15" t="n"/>
      <c r="C310" s="15" t="n"/>
      <c r="D310" s="15" t="n"/>
      <c r="E310" s="15" t="n"/>
      <c r="F310" s="15" t="n"/>
      <c r="G310" s="15" t="n"/>
      <c r="H310" s="15" t="n"/>
      <c r="I310" s="15" t="n"/>
      <c r="J310" s="15" t="inlineStr">
        <is>
          <t>Không</t>
        </is>
      </c>
      <c r="K310" s="15" t="n"/>
      <c r="L310" s="15" t="n"/>
      <c r="M310" s="15" t="inlineStr">
        <is>
          <t>Mở</t>
        </is>
      </c>
      <c r="N310" s="15" t="n"/>
      <c r="O310" s="15">
        <f>IF(OR(B310="",L310=""),"",B310+IF(L310="P0",0,IF(L310="P1",7,IF(L310="P2",30,90))))</f>
        <v/>
      </c>
      <c r="P310" s="15" t="n"/>
      <c r="Q310" s="15">
        <f>IF(B310="","",IF(P310&lt;&gt;"",P310-B310,TODAY()-B310))</f>
        <v/>
      </c>
      <c r="R310" s="15" t="n"/>
    </row>
    <row r="311">
      <c r="A311" s="15" t="n"/>
      <c r="B311" s="15" t="n"/>
      <c r="C311" s="15" t="n"/>
      <c r="D311" s="15" t="n"/>
      <c r="E311" s="15" t="n"/>
      <c r="F311" s="15" t="n"/>
      <c r="G311" s="15" t="n"/>
      <c r="H311" s="15" t="n"/>
      <c r="I311" s="15" t="n"/>
      <c r="J311" s="15" t="inlineStr">
        <is>
          <t>Không</t>
        </is>
      </c>
      <c r="K311" s="15" t="n"/>
      <c r="L311" s="15" t="n"/>
      <c r="M311" s="15" t="inlineStr">
        <is>
          <t>Mở</t>
        </is>
      </c>
      <c r="N311" s="15" t="n"/>
      <c r="O311" s="15">
        <f>IF(OR(B311="",L311=""),"",B311+IF(L311="P0",0,IF(L311="P1",7,IF(L311="P2",30,90))))</f>
        <v/>
      </c>
      <c r="P311" s="15" t="n"/>
      <c r="Q311" s="15">
        <f>IF(B311="","",IF(P311&lt;&gt;"",P311-B311,TODAY()-B311))</f>
        <v/>
      </c>
      <c r="R311" s="15" t="n"/>
    </row>
    <row r="312">
      <c r="A312" s="15" t="n"/>
      <c r="B312" s="15" t="n"/>
      <c r="C312" s="15" t="n"/>
      <c r="D312" s="15" t="n"/>
      <c r="E312" s="15" t="n"/>
      <c r="F312" s="15" t="n"/>
      <c r="G312" s="15" t="n"/>
      <c r="H312" s="15" t="n"/>
      <c r="I312" s="15" t="n"/>
      <c r="J312" s="15" t="inlineStr">
        <is>
          <t>Không</t>
        </is>
      </c>
      <c r="K312" s="15" t="n"/>
      <c r="L312" s="15" t="n"/>
      <c r="M312" s="15" t="inlineStr">
        <is>
          <t>Mở</t>
        </is>
      </c>
      <c r="N312" s="15" t="n"/>
      <c r="O312" s="15">
        <f>IF(OR(B312="",L312=""),"",B312+IF(L312="P0",0,IF(L312="P1",7,IF(L312="P2",30,90))))</f>
        <v/>
      </c>
      <c r="P312" s="15" t="n"/>
      <c r="Q312" s="15">
        <f>IF(B312="","",IF(P312&lt;&gt;"",P312-B312,TODAY()-B312))</f>
        <v/>
      </c>
      <c r="R312" s="15" t="n"/>
    </row>
    <row r="313">
      <c r="A313" s="15" t="n"/>
      <c r="B313" s="15" t="n"/>
      <c r="C313" s="15" t="n"/>
      <c r="D313" s="15" t="n"/>
      <c r="E313" s="15" t="n"/>
      <c r="F313" s="15" t="n"/>
      <c r="G313" s="15" t="n"/>
      <c r="H313" s="15" t="n"/>
      <c r="I313" s="15" t="n"/>
      <c r="J313" s="15" t="inlineStr">
        <is>
          <t>Không</t>
        </is>
      </c>
      <c r="K313" s="15" t="n"/>
      <c r="L313" s="15" t="n"/>
      <c r="M313" s="15" t="inlineStr">
        <is>
          <t>Mở</t>
        </is>
      </c>
      <c r="N313" s="15" t="n"/>
      <c r="O313" s="15">
        <f>IF(OR(B313="",L313=""),"",B313+IF(L313="P0",0,IF(L313="P1",7,IF(L313="P2",30,90))))</f>
        <v/>
      </c>
      <c r="P313" s="15" t="n"/>
      <c r="Q313" s="15">
        <f>IF(B313="","",IF(P313&lt;&gt;"",P313-B313,TODAY()-B313))</f>
        <v/>
      </c>
      <c r="R313" s="15" t="n"/>
    </row>
    <row r="314">
      <c r="A314" s="15" t="n"/>
      <c r="B314" s="15" t="n"/>
      <c r="C314" s="15" t="n"/>
      <c r="D314" s="15" t="n"/>
      <c r="E314" s="15" t="n"/>
      <c r="F314" s="15" t="n"/>
      <c r="G314" s="15" t="n"/>
      <c r="H314" s="15" t="n"/>
      <c r="I314" s="15" t="n"/>
      <c r="J314" s="15" t="inlineStr">
        <is>
          <t>Không</t>
        </is>
      </c>
      <c r="K314" s="15" t="n"/>
      <c r="L314" s="15" t="n"/>
      <c r="M314" s="15" t="inlineStr">
        <is>
          <t>Mở</t>
        </is>
      </c>
      <c r="N314" s="15" t="n"/>
      <c r="O314" s="15">
        <f>IF(OR(B314="",L314=""),"",B314+IF(L314="P0",0,IF(L314="P1",7,IF(L314="P2",30,90))))</f>
        <v/>
      </c>
      <c r="P314" s="15" t="n"/>
      <c r="Q314" s="15">
        <f>IF(B314="","",IF(P314&lt;&gt;"",P314-B314,TODAY()-B314))</f>
        <v/>
      </c>
      <c r="R314" s="15" t="n"/>
    </row>
    <row r="315">
      <c r="A315" s="15" t="n"/>
      <c r="B315" s="15" t="n"/>
      <c r="C315" s="15" t="n"/>
      <c r="D315" s="15" t="n"/>
      <c r="E315" s="15" t="n"/>
      <c r="F315" s="15" t="n"/>
      <c r="G315" s="15" t="n"/>
      <c r="H315" s="15" t="n"/>
      <c r="I315" s="15" t="n"/>
      <c r="J315" s="15" t="inlineStr">
        <is>
          <t>Không</t>
        </is>
      </c>
      <c r="K315" s="15" t="n"/>
      <c r="L315" s="15" t="n"/>
      <c r="M315" s="15" t="inlineStr">
        <is>
          <t>Mở</t>
        </is>
      </c>
      <c r="N315" s="15" t="n"/>
      <c r="O315" s="15">
        <f>IF(OR(B315="",L315=""),"",B315+IF(L315="P0",0,IF(L315="P1",7,IF(L315="P2",30,90))))</f>
        <v/>
      </c>
      <c r="P315" s="15" t="n"/>
      <c r="Q315" s="15">
        <f>IF(B315="","",IF(P315&lt;&gt;"",P315-B315,TODAY()-B315))</f>
        <v/>
      </c>
      <c r="R315" s="15" t="n"/>
    </row>
    <row r="316">
      <c r="A316" s="15" t="n"/>
      <c r="B316" s="15" t="n"/>
      <c r="C316" s="15" t="n"/>
      <c r="D316" s="15" t="n"/>
      <c r="E316" s="15" t="n"/>
      <c r="F316" s="15" t="n"/>
      <c r="G316" s="15" t="n"/>
      <c r="H316" s="15" t="n"/>
      <c r="I316" s="15" t="n"/>
      <c r="J316" s="15" t="inlineStr">
        <is>
          <t>Không</t>
        </is>
      </c>
      <c r="K316" s="15" t="n"/>
      <c r="L316" s="15" t="n"/>
      <c r="M316" s="15" t="inlineStr">
        <is>
          <t>Mở</t>
        </is>
      </c>
      <c r="N316" s="15" t="n"/>
      <c r="O316" s="15">
        <f>IF(OR(B316="",L316=""),"",B316+IF(L316="P0",0,IF(L316="P1",7,IF(L316="P2",30,90))))</f>
        <v/>
      </c>
      <c r="P316" s="15" t="n"/>
      <c r="Q316" s="15">
        <f>IF(B316="","",IF(P316&lt;&gt;"",P316-B316,TODAY()-B316))</f>
        <v/>
      </c>
      <c r="R316" s="15" t="n"/>
    </row>
    <row r="317">
      <c r="A317" s="15" t="n"/>
      <c r="B317" s="15" t="n"/>
      <c r="C317" s="15" t="n"/>
      <c r="D317" s="15" t="n"/>
      <c r="E317" s="15" t="n"/>
      <c r="F317" s="15" t="n"/>
      <c r="G317" s="15" t="n"/>
      <c r="H317" s="15" t="n"/>
      <c r="I317" s="15" t="n"/>
      <c r="J317" s="15" t="inlineStr">
        <is>
          <t>Không</t>
        </is>
      </c>
      <c r="K317" s="15" t="n"/>
      <c r="L317" s="15" t="n"/>
      <c r="M317" s="15" t="inlineStr">
        <is>
          <t>Mở</t>
        </is>
      </c>
      <c r="N317" s="15" t="n"/>
      <c r="O317" s="15">
        <f>IF(OR(B317="",L317=""),"",B317+IF(L317="P0",0,IF(L317="P1",7,IF(L317="P2",30,90))))</f>
        <v/>
      </c>
      <c r="P317" s="15" t="n"/>
      <c r="Q317" s="15">
        <f>IF(B317="","",IF(P317&lt;&gt;"",P317-B317,TODAY()-B317))</f>
        <v/>
      </c>
      <c r="R317" s="15" t="n"/>
    </row>
    <row r="318">
      <c r="A318" s="15" t="n"/>
      <c r="B318" s="15" t="n"/>
      <c r="C318" s="15" t="n"/>
      <c r="D318" s="15" t="n"/>
      <c r="E318" s="15" t="n"/>
      <c r="F318" s="15" t="n"/>
      <c r="G318" s="15" t="n"/>
      <c r="H318" s="15" t="n"/>
      <c r="I318" s="15" t="n"/>
      <c r="J318" s="15" t="inlineStr">
        <is>
          <t>Không</t>
        </is>
      </c>
      <c r="K318" s="15" t="n"/>
      <c r="L318" s="15" t="n"/>
      <c r="M318" s="15" t="inlineStr">
        <is>
          <t>Mở</t>
        </is>
      </c>
      <c r="N318" s="15" t="n"/>
      <c r="O318" s="15">
        <f>IF(OR(B318="",L318=""),"",B318+IF(L318="P0",0,IF(L318="P1",7,IF(L318="P2",30,90))))</f>
        <v/>
      </c>
      <c r="P318" s="15" t="n"/>
      <c r="Q318" s="15">
        <f>IF(B318="","",IF(P318&lt;&gt;"",P318-B318,TODAY()-B318))</f>
        <v/>
      </c>
      <c r="R318" s="15" t="n"/>
    </row>
    <row r="319">
      <c r="A319" s="15" t="n"/>
      <c r="B319" s="15" t="n"/>
      <c r="C319" s="15" t="n"/>
      <c r="D319" s="15" t="n"/>
      <c r="E319" s="15" t="n"/>
      <c r="F319" s="15" t="n"/>
      <c r="G319" s="15" t="n"/>
      <c r="H319" s="15" t="n"/>
      <c r="I319" s="15" t="n"/>
      <c r="J319" s="15" t="inlineStr">
        <is>
          <t>Không</t>
        </is>
      </c>
      <c r="K319" s="15" t="n"/>
      <c r="L319" s="15" t="n"/>
      <c r="M319" s="15" t="inlineStr">
        <is>
          <t>Mở</t>
        </is>
      </c>
      <c r="N319" s="15" t="n"/>
      <c r="O319" s="15">
        <f>IF(OR(B319="",L319=""),"",B319+IF(L319="P0",0,IF(L319="P1",7,IF(L319="P2",30,90))))</f>
        <v/>
      </c>
      <c r="P319" s="15" t="n"/>
      <c r="Q319" s="15">
        <f>IF(B319="","",IF(P319&lt;&gt;"",P319-B319,TODAY()-B319))</f>
        <v/>
      </c>
      <c r="R319" s="15" t="n"/>
    </row>
    <row r="320">
      <c r="A320" s="15" t="n"/>
      <c r="B320" s="15" t="n"/>
      <c r="C320" s="15" t="n"/>
      <c r="D320" s="15" t="n"/>
      <c r="E320" s="15" t="n"/>
      <c r="F320" s="15" t="n"/>
      <c r="G320" s="15" t="n"/>
      <c r="H320" s="15" t="n"/>
      <c r="I320" s="15" t="n"/>
      <c r="J320" s="15" t="inlineStr">
        <is>
          <t>Không</t>
        </is>
      </c>
      <c r="K320" s="15" t="n"/>
      <c r="L320" s="15" t="n"/>
      <c r="M320" s="15" t="inlineStr">
        <is>
          <t>Mở</t>
        </is>
      </c>
      <c r="N320" s="15" t="n"/>
      <c r="O320" s="15">
        <f>IF(OR(B320="",L320=""),"",B320+IF(L320="P0",0,IF(L320="P1",7,IF(L320="P2",30,90))))</f>
        <v/>
      </c>
      <c r="P320" s="15" t="n"/>
      <c r="Q320" s="15">
        <f>IF(B320="","",IF(P320&lt;&gt;"",P320-B320,TODAY()-B320))</f>
        <v/>
      </c>
      <c r="R320" s="15" t="n"/>
    </row>
    <row r="321">
      <c r="A321" s="15" t="n"/>
      <c r="B321" s="15" t="n"/>
      <c r="C321" s="15" t="n"/>
      <c r="D321" s="15" t="n"/>
      <c r="E321" s="15" t="n"/>
      <c r="F321" s="15" t="n"/>
      <c r="G321" s="15" t="n"/>
      <c r="H321" s="15" t="n"/>
      <c r="I321" s="15" t="n"/>
      <c r="J321" s="15" t="inlineStr">
        <is>
          <t>Không</t>
        </is>
      </c>
      <c r="K321" s="15" t="n"/>
      <c r="L321" s="15" t="n"/>
      <c r="M321" s="15" t="inlineStr">
        <is>
          <t>Mở</t>
        </is>
      </c>
      <c r="N321" s="15" t="n"/>
      <c r="O321" s="15">
        <f>IF(OR(B321="",L321=""),"",B321+IF(L321="P0",0,IF(L321="P1",7,IF(L321="P2",30,90))))</f>
        <v/>
      </c>
      <c r="P321" s="15" t="n"/>
      <c r="Q321" s="15">
        <f>IF(B321="","",IF(P321&lt;&gt;"",P321-B321,TODAY()-B321))</f>
        <v/>
      </c>
      <c r="R321" s="15" t="n"/>
    </row>
    <row r="322">
      <c r="A322" s="15" t="n"/>
      <c r="B322" s="15" t="n"/>
      <c r="C322" s="15" t="n"/>
      <c r="D322" s="15" t="n"/>
      <c r="E322" s="15" t="n"/>
      <c r="F322" s="15" t="n"/>
      <c r="G322" s="15" t="n"/>
      <c r="H322" s="15" t="n"/>
      <c r="I322" s="15" t="n"/>
      <c r="J322" s="15" t="inlineStr">
        <is>
          <t>Không</t>
        </is>
      </c>
      <c r="K322" s="15" t="n"/>
      <c r="L322" s="15" t="n"/>
      <c r="M322" s="15" t="inlineStr">
        <is>
          <t>Mở</t>
        </is>
      </c>
      <c r="N322" s="15" t="n"/>
      <c r="O322" s="15">
        <f>IF(OR(B322="",L322=""),"",B322+IF(L322="P0",0,IF(L322="P1",7,IF(L322="P2",30,90))))</f>
        <v/>
      </c>
      <c r="P322" s="15" t="n"/>
      <c r="Q322" s="15">
        <f>IF(B322="","",IF(P322&lt;&gt;"",P322-B322,TODAY()-B322))</f>
        <v/>
      </c>
      <c r="R322" s="15" t="n"/>
    </row>
    <row r="323">
      <c r="A323" s="15" t="n"/>
      <c r="B323" s="15" t="n"/>
      <c r="C323" s="15" t="n"/>
      <c r="D323" s="15" t="n"/>
      <c r="E323" s="15" t="n"/>
      <c r="F323" s="15" t="n"/>
      <c r="G323" s="15" t="n"/>
      <c r="H323" s="15" t="n"/>
      <c r="I323" s="15" t="n"/>
      <c r="J323" s="15" t="inlineStr">
        <is>
          <t>Không</t>
        </is>
      </c>
      <c r="K323" s="15" t="n"/>
      <c r="L323" s="15" t="n"/>
      <c r="M323" s="15" t="inlineStr">
        <is>
          <t>Mở</t>
        </is>
      </c>
      <c r="N323" s="15" t="n"/>
      <c r="O323" s="15">
        <f>IF(OR(B323="",L323=""),"",B323+IF(L323="P0",0,IF(L323="P1",7,IF(L323="P2",30,90))))</f>
        <v/>
      </c>
      <c r="P323" s="15" t="n"/>
      <c r="Q323" s="15">
        <f>IF(B323="","",IF(P323&lt;&gt;"",P323-B323,TODAY()-B323))</f>
        <v/>
      </c>
      <c r="R323" s="15" t="n"/>
    </row>
    <row r="324">
      <c r="A324" s="15" t="n"/>
      <c r="B324" s="15" t="n"/>
      <c r="C324" s="15" t="n"/>
      <c r="D324" s="15" t="n"/>
      <c r="E324" s="15" t="n"/>
      <c r="F324" s="15" t="n"/>
      <c r="G324" s="15" t="n"/>
      <c r="H324" s="15" t="n"/>
      <c r="I324" s="15" t="n"/>
      <c r="J324" s="15" t="inlineStr">
        <is>
          <t>Không</t>
        </is>
      </c>
      <c r="K324" s="15" t="n"/>
      <c r="L324" s="15" t="n"/>
      <c r="M324" s="15" t="inlineStr">
        <is>
          <t>Mở</t>
        </is>
      </c>
      <c r="N324" s="15" t="n"/>
      <c r="O324" s="15">
        <f>IF(OR(B324="",L324=""),"",B324+IF(L324="P0",0,IF(L324="P1",7,IF(L324="P2",30,90))))</f>
        <v/>
      </c>
      <c r="P324" s="15" t="n"/>
      <c r="Q324" s="15">
        <f>IF(B324="","",IF(P324&lt;&gt;"",P324-B324,TODAY()-B324))</f>
        <v/>
      </c>
      <c r="R324" s="15" t="n"/>
    </row>
    <row r="325">
      <c r="A325" s="15" t="n"/>
      <c r="B325" s="15" t="n"/>
      <c r="C325" s="15" t="n"/>
      <c r="D325" s="15" t="n"/>
      <c r="E325" s="15" t="n"/>
      <c r="F325" s="15" t="n"/>
      <c r="G325" s="15" t="n"/>
      <c r="H325" s="15" t="n"/>
      <c r="I325" s="15" t="n"/>
      <c r="J325" s="15" t="inlineStr">
        <is>
          <t>Không</t>
        </is>
      </c>
      <c r="K325" s="15" t="n"/>
      <c r="L325" s="15" t="n"/>
      <c r="M325" s="15" t="inlineStr">
        <is>
          <t>Mở</t>
        </is>
      </c>
      <c r="N325" s="15" t="n"/>
      <c r="O325" s="15">
        <f>IF(OR(B325="",L325=""),"",B325+IF(L325="P0",0,IF(L325="P1",7,IF(L325="P2",30,90))))</f>
        <v/>
      </c>
      <c r="P325" s="15" t="n"/>
      <c r="Q325" s="15">
        <f>IF(B325="","",IF(P325&lt;&gt;"",P325-B325,TODAY()-B325))</f>
        <v/>
      </c>
      <c r="R325" s="15" t="n"/>
    </row>
    <row r="326">
      <c r="A326" s="15" t="n"/>
      <c r="B326" s="15" t="n"/>
      <c r="C326" s="15" t="n"/>
      <c r="D326" s="15" t="n"/>
      <c r="E326" s="15" t="n"/>
      <c r="F326" s="15" t="n"/>
      <c r="G326" s="15" t="n"/>
      <c r="H326" s="15" t="n"/>
      <c r="I326" s="15" t="n"/>
      <c r="J326" s="15" t="inlineStr">
        <is>
          <t>Không</t>
        </is>
      </c>
      <c r="K326" s="15" t="n"/>
      <c r="L326" s="15" t="n"/>
      <c r="M326" s="15" t="inlineStr">
        <is>
          <t>Mở</t>
        </is>
      </c>
      <c r="N326" s="15" t="n"/>
      <c r="O326" s="15">
        <f>IF(OR(B326="",L326=""),"",B326+IF(L326="P0",0,IF(L326="P1",7,IF(L326="P2",30,90))))</f>
        <v/>
      </c>
      <c r="P326" s="15" t="n"/>
      <c r="Q326" s="15">
        <f>IF(B326="","",IF(P326&lt;&gt;"",P326-B326,TODAY()-B326))</f>
        <v/>
      </c>
      <c r="R326" s="15" t="n"/>
    </row>
    <row r="327">
      <c r="A327" s="15" t="n"/>
      <c r="B327" s="15" t="n"/>
      <c r="C327" s="15" t="n"/>
      <c r="D327" s="15" t="n"/>
      <c r="E327" s="15" t="n"/>
      <c r="F327" s="15" t="n"/>
      <c r="G327" s="15" t="n"/>
      <c r="H327" s="15" t="n"/>
      <c r="I327" s="15" t="n"/>
      <c r="J327" s="15" t="inlineStr">
        <is>
          <t>Không</t>
        </is>
      </c>
      <c r="K327" s="15" t="n"/>
      <c r="L327" s="15" t="n"/>
      <c r="M327" s="15" t="inlineStr">
        <is>
          <t>Mở</t>
        </is>
      </c>
      <c r="N327" s="15" t="n"/>
      <c r="O327" s="15">
        <f>IF(OR(B327="",L327=""),"",B327+IF(L327="P0",0,IF(L327="P1",7,IF(L327="P2",30,90))))</f>
        <v/>
      </c>
      <c r="P327" s="15" t="n"/>
      <c r="Q327" s="15">
        <f>IF(B327="","",IF(P327&lt;&gt;"",P327-B327,TODAY()-B327))</f>
        <v/>
      </c>
      <c r="R327" s="15" t="n"/>
    </row>
    <row r="328">
      <c r="A328" s="15" t="n"/>
      <c r="B328" s="15" t="n"/>
      <c r="C328" s="15" t="n"/>
      <c r="D328" s="15" t="n"/>
      <c r="E328" s="15" t="n"/>
      <c r="F328" s="15" t="n"/>
      <c r="G328" s="15" t="n"/>
      <c r="H328" s="15" t="n"/>
      <c r="I328" s="15" t="n"/>
      <c r="J328" s="15" t="inlineStr">
        <is>
          <t>Không</t>
        </is>
      </c>
      <c r="K328" s="15" t="n"/>
      <c r="L328" s="15" t="n"/>
      <c r="M328" s="15" t="inlineStr">
        <is>
          <t>Mở</t>
        </is>
      </c>
      <c r="N328" s="15" t="n"/>
      <c r="O328" s="15">
        <f>IF(OR(B328="",L328=""),"",B328+IF(L328="P0",0,IF(L328="P1",7,IF(L328="P2",30,90))))</f>
        <v/>
      </c>
      <c r="P328" s="15" t="n"/>
      <c r="Q328" s="15">
        <f>IF(B328="","",IF(P328&lt;&gt;"",P328-B328,TODAY()-B328))</f>
        <v/>
      </c>
      <c r="R328" s="15" t="n"/>
    </row>
    <row r="329">
      <c r="A329" s="15" t="n"/>
      <c r="B329" s="15" t="n"/>
      <c r="C329" s="15" t="n"/>
      <c r="D329" s="15" t="n"/>
      <c r="E329" s="15" t="n"/>
      <c r="F329" s="15" t="n"/>
      <c r="G329" s="15" t="n"/>
      <c r="H329" s="15" t="n"/>
      <c r="I329" s="15" t="n"/>
      <c r="J329" s="15" t="inlineStr">
        <is>
          <t>Không</t>
        </is>
      </c>
      <c r="K329" s="15" t="n"/>
      <c r="L329" s="15" t="n"/>
      <c r="M329" s="15" t="inlineStr">
        <is>
          <t>Mở</t>
        </is>
      </c>
      <c r="N329" s="15" t="n"/>
      <c r="O329" s="15">
        <f>IF(OR(B329="",L329=""),"",B329+IF(L329="P0",0,IF(L329="P1",7,IF(L329="P2",30,90))))</f>
        <v/>
      </c>
      <c r="P329" s="15" t="n"/>
      <c r="Q329" s="15">
        <f>IF(B329="","",IF(P329&lt;&gt;"",P329-B329,TODAY()-B329))</f>
        <v/>
      </c>
      <c r="R329" s="15" t="n"/>
    </row>
    <row r="330">
      <c r="A330" s="15" t="n"/>
      <c r="B330" s="15" t="n"/>
      <c r="C330" s="15" t="n"/>
      <c r="D330" s="15" t="n"/>
      <c r="E330" s="15" t="n"/>
      <c r="F330" s="15" t="n"/>
      <c r="G330" s="15" t="n"/>
      <c r="H330" s="15" t="n"/>
      <c r="I330" s="15" t="n"/>
      <c r="J330" s="15" t="inlineStr">
        <is>
          <t>Không</t>
        </is>
      </c>
      <c r="K330" s="15" t="n"/>
      <c r="L330" s="15" t="n"/>
      <c r="M330" s="15" t="inlineStr">
        <is>
          <t>Mở</t>
        </is>
      </c>
      <c r="N330" s="15" t="n"/>
      <c r="O330" s="15">
        <f>IF(OR(B330="",L330=""),"",B330+IF(L330="P0",0,IF(L330="P1",7,IF(L330="P2",30,90))))</f>
        <v/>
      </c>
      <c r="P330" s="15" t="n"/>
      <c r="Q330" s="15">
        <f>IF(B330="","",IF(P330&lt;&gt;"",P330-B330,TODAY()-B330))</f>
        <v/>
      </c>
      <c r="R330" s="15" t="n"/>
    </row>
    <row r="331">
      <c r="A331" s="15" t="n"/>
      <c r="B331" s="15" t="n"/>
      <c r="C331" s="15" t="n"/>
      <c r="D331" s="15" t="n"/>
      <c r="E331" s="15" t="n"/>
      <c r="F331" s="15" t="n"/>
      <c r="G331" s="15" t="n"/>
      <c r="H331" s="15" t="n"/>
      <c r="I331" s="15" t="n"/>
      <c r="J331" s="15" t="inlineStr">
        <is>
          <t>Không</t>
        </is>
      </c>
      <c r="K331" s="15" t="n"/>
      <c r="L331" s="15" t="n"/>
      <c r="M331" s="15" t="inlineStr">
        <is>
          <t>Mở</t>
        </is>
      </c>
      <c r="N331" s="15" t="n"/>
      <c r="O331" s="15">
        <f>IF(OR(B331="",L331=""),"",B331+IF(L331="P0",0,IF(L331="P1",7,IF(L331="P2",30,90))))</f>
        <v/>
      </c>
      <c r="P331" s="15" t="n"/>
      <c r="Q331" s="15">
        <f>IF(B331="","",IF(P331&lt;&gt;"",P331-B331,TODAY()-B331))</f>
        <v/>
      </c>
      <c r="R331" s="15" t="n"/>
    </row>
    <row r="332">
      <c r="A332" s="15" t="n"/>
      <c r="B332" s="15" t="n"/>
      <c r="C332" s="15" t="n"/>
      <c r="D332" s="15" t="n"/>
      <c r="E332" s="15" t="n"/>
      <c r="F332" s="15" t="n"/>
      <c r="G332" s="15" t="n"/>
      <c r="H332" s="15" t="n"/>
      <c r="I332" s="15" t="n"/>
      <c r="J332" s="15" t="inlineStr">
        <is>
          <t>Không</t>
        </is>
      </c>
      <c r="K332" s="15" t="n"/>
      <c r="L332" s="15" t="n"/>
      <c r="M332" s="15" t="inlineStr">
        <is>
          <t>Mở</t>
        </is>
      </c>
      <c r="N332" s="15" t="n"/>
      <c r="O332" s="15">
        <f>IF(OR(B332="",L332=""),"",B332+IF(L332="P0",0,IF(L332="P1",7,IF(L332="P2",30,90))))</f>
        <v/>
      </c>
      <c r="P332" s="15" t="n"/>
      <c r="Q332" s="15">
        <f>IF(B332="","",IF(P332&lt;&gt;"",P332-B332,TODAY()-B332))</f>
        <v/>
      </c>
      <c r="R332" s="15" t="n"/>
    </row>
    <row r="333">
      <c r="A333" s="15" t="n"/>
      <c r="B333" s="15" t="n"/>
      <c r="C333" s="15" t="n"/>
      <c r="D333" s="15" t="n"/>
      <c r="E333" s="15" t="n"/>
      <c r="F333" s="15" t="n"/>
      <c r="G333" s="15" t="n"/>
      <c r="H333" s="15" t="n"/>
      <c r="I333" s="15" t="n"/>
      <c r="J333" s="15" t="inlineStr">
        <is>
          <t>Không</t>
        </is>
      </c>
      <c r="K333" s="15" t="n"/>
      <c r="L333" s="15" t="n"/>
      <c r="M333" s="15" t="inlineStr">
        <is>
          <t>Mở</t>
        </is>
      </c>
      <c r="N333" s="15" t="n"/>
      <c r="O333" s="15">
        <f>IF(OR(B333="",L333=""),"",B333+IF(L333="P0",0,IF(L333="P1",7,IF(L333="P2",30,90))))</f>
        <v/>
      </c>
      <c r="P333" s="15" t="n"/>
      <c r="Q333" s="15">
        <f>IF(B333="","",IF(P333&lt;&gt;"",P333-B333,TODAY()-B333))</f>
        <v/>
      </c>
      <c r="R333" s="15" t="n"/>
    </row>
    <row r="334">
      <c r="A334" s="15" t="n"/>
      <c r="B334" s="15" t="n"/>
      <c r="C334" s="15" t="n"/>
      <c r="D334" s="15" t="n"/>
      <c r="E334" s="15" t="n"/>
      <c r="F334" s="15" t="n"/>
      <c r="G334" s="15" t="n"/>
      <c r="H334" s="15" t="n"/>
      <c r="I334" s="15" t="n"/>
      <c r="J334" s="15" t="inlineStr">
        <is>
          <t>Không</t>
        </is>
      </c>
      <c r="K334" s="15" t="n"/>
      <c r="L334" s="15" t="n"/>
      <c r="M334" s="15" t="inlineStr">
        <is>
          <t>Mở</t>
        </is>
      </c>
      <c r="N334" s="15" t="n"/>
      <c r="O334" s="15">
        <f>IF(OR(B334="",L334=""),"",B334+IF(L334="P0",0,IF(L334="P1",7,IF(L334="P2",30,90))))</f>
        <v/>
      </c>
      <c r="P334" s="15" t="n"/>
      <c r="Q334" s="15">
        <f>IF(B334="","",IF(P334&lt;&gt;"",P334-B334,TODAY()-B334))</f>
        <v/>
      </c>
      <c r="R334" s="15" t="n"/>
    </row>
    <row r="335">
      <c r="A335" s="15" t="n"/>
      <c r="B335" s="15" t="n"/>
      <c r="C335" s="15" t="n"/>
      <c r="D335" s="15" t="n"/>
      <c r="E335" s="15" t="n"/>
      <c r="F335" s="15" t="n"/>
      <c r="G335" s="15" t="n"/>
      <c r="H335" s="15" t="n"/>
      <c r="I335" s="15" t="n"/>
      <c r="J335" s="15" t="inlineStr">
        <is>
          <t>Không</t>
        </is>
      </c>
      <c r="K335" s="15" t="n"/>
      <c r="L335" s="15" t="n"/>
      <c r="M335" s="15" t="inlineStr">
        <is>
          <t>Mở</t>
        </is>
      </c>
      <c r="N335" s="15" t="n"/>
      <c r="O335" s="15">
        <f>IF(OR(B335="",L335=""),"",B335+IF(L335="P0",0,IF(L335="P1",7,IF(L335="P2",30,90))))</f>
        <v/>
      </c>
      <c r="P335" s="15" t="n"/>
      <c r="Q335" s="15">
        <f>IF(B335="","",IF(P335&lt;&gt;"",P335-B335,TODAY()-B335))</f>
        <v/>
      </c>
      <c r="R335" s="15" t="n"/>
    </row>
    <row r="336">
      <c r="A336" s="15" t="n"/>
      <c r="B336" s="15" t="n"/>
      <c r="C336" s="15" t="n"/>
      <c r="D336" s="15" t="n"/>
      <c r="E336" s="15" t="n"/>
      <c r="F336" s="15" t="n"/>
      <c r="G336" s="15" t="n"/>
      <c r="H336" s="15" t="n"/>
      <c r="I336" s="15" t="n"/>
      <c r="J336" s="15" t="inlineStr">
        <is>
          <t>Không</t>
        </is>
      </c>
      <c r="K336" s="15" t="n"/>
      <c r="L336" s="15" t="n"/>
      <c r="M336" s="15" t="inlineStr">
        <is>
          <t>Mở</t>
        </is>
      </c>
      <c r="N336" s="15" t="n"/>
      <c r="O336" s="15">
        <f>IF(OR(B336="",L336=""),"",B336+IF(L336="P0",0,IF(L336="P1",7,IF(L336="P2",30,90))))</f>
        <v/>
      </c>
      <c r="P336" s="15" t="n"/>
      <c r="Q336" s="15">
        <f>IF(B336="","",IF(P336&lt;&gt;"",P336-B336,TODAY()-B336))</f>
        <v/>
      </c>
      <c r="R336" s="15" t="n"/>
    </row>
    <row r="337">
      <c r="A337" s="15" t="n"/>
      <c r="B337" s="15" t="n"/>
      <c r="C337" s="15" t="n"/>
      <c r="D337" s="15" t="n"/>
      <c r="E337" s="15" t="n"/>
      <c r="F337" s="15" t="n"/>
      <c r="G337" s="15" t="n"/>
      <c r="H337" s="15" t="n"/>
      <c r="I337" s="15" t="n"/>
      <c r="J337" s="15" t="inlineStr">
        <is>
          <t>Không</t>
        </is>
      </c>
      <c r="K337" s="15" t="n"/>
      <c r="L337" s="15" t="n"/>
      <c r="M337" s="15" t="inlineStr">
        <is>
          <t>Mở</t>
        </is>
      </c>
      <c r="N337" s="15" t="n"/>
      <c r="O337" s="15">
        <f>IF(OR(B337="",L337=""),"",B337+IF(L337="P0",0,IF(L337="P1",7,IF(L337="P2",30,90))))</f>
        <v/>
      </c>
      <c r="P337" s="15" t="n"/>
      <c r="Q337" s="15">
        <f>IF(B337="","",IF(P337&lt;&gt;"",P337-B337,TODAY()-B337))</f>
        <v/>
      </c>
      <c r="R337" s="15" t="n"/>
    </row>
    <row r="338">
      <c r="A338" s="15" t="n"/>
      <c r="B338" s="15" t="n"/>
      <c r="C338" s="15" t="n"/>
      <c r="D338" s="15" t="n"/>
      <c r="E338" s="15" t="n"/>
      <c r="F338" s="15" t="n"/>
      <c r="G338" s="15" t="n"/>
      <c r="H338" s="15" t="n"/>
      <c r="I338" s="15" t="n"/>
      <c r="J338" s="15" t="inlineStr">
        <is>
          <t>Không</t>
        </is>
      </c>
      <c r="K338" s="15" t="n"/>
      <c r="L338" s="15" t="n"/>
      <c r="M338" s="15" t="inlineStr">
        <is>
          <t>Mở</t>
        </is>
      </c>
      <c r="N338" s="15" t="n"/>
      <c r="O338" s="15">
        <f>IF(OR(B338="",L338=""),"",B338+IF(L338="P0",0,IF(L338="P1",7,IF(L338="P2",30,90))))</f>
        <v/>
      </c>
      <c r="P338" s="15" t="n"/>
      <c r="Q338" s="15">
        <f>IF(B338="","",IF(P338&lt;&gt;"",P338-B338,TODAY()-B338))</f>
        <v/>
      </c>
      <c r="R338" s="15" t="n"/>
    </row>
    <row r="339">
      <c r="A339" s="15" t="n"/>
      <c r="B339" s="15" t="n"/>
      <c r="C339" s="15" t="n"/>
      <c r="D339" s="15" t="n"/>
      <c r="E339" s="15" t="n"/>
      <c r="F339" s="15" t="n"/>
      <c r="G339" s="15" t="n"/>
      <c r="H339" s="15" t="n"/>
      <c r="I339" s="15" t="n"/>
      <c r="J339" s="15" t="inlineStr">
        <is>
          <t>Không</t>
        </is>
      </c>
      <c r="K339" s="15" t="n"/>
      <c r="L339" s="15" t="n"/>
      <c r="M339" s="15" t="inlineStr">
        <is>
          <t>Mở</t>
        </is>
      </c>
      <c r="N339" s="15" t="n"/>
      <c r="O339" s="15">
        <f>IF(OR(B339="",L339=""),"",B339+IF(L339="P0",0,IF(L339="P1",7,IF(L339="P2",30,90))))</f>
        <v/>
      </c>
      <c r="P339" s="15" t="n"/>
      <c r="Q339" s="15">
        <f>IF(B339="","",IF(P339&lt;&gt;"",P339-B339,TODAY()-B339))</f>
        <v/>
      </c>
      <c r="R339" s="15" t="n"/>
    </row>
    <row r="340">
      <c r="A340" s="15" t="n"/>
      <c r="B340" s="15" t="n"/>
      <c r="C340" s="15" t="n"/>
      <c r="D340" s="15" t="n"/>
      <c r="E340" s="15" t="n"/>
      <c r="F340" s="15" t="n"/>
      <c r="G340" s="15" t="n"/>
      <c r="H340" s="15" t="n"/>
      <c r="I340" s="15" t="n"/>
      <c r="J340" s="15" t="inlineStr">
        <is>
          <t>Không</t>
        </is>
      </c>
      <c r="K340" s="15" t="n"/>
      <c r="L340" s="15" t="n"/>
      <c r="M340" s="15" t="inlineStr">
        <is>
          <t>Mở</t>
        </is>
      </c>
      <c r="N340" s="15" t="n"/>
      <c r="O340" s="15">
        <f>IF(OR(B340="",L340=""),"",B340+IF(L340="P0",0,IF(L340="P1",7,IF(L340="P2",30,90))))</f>
        <v/>
      </c>
      <c r="P340" s="15" t="n"/>
      <c r="Q340" s="15">
        <f>IF(B340="","",IF(P340&lt;&gt;"",P340-B340,TODAY()-B340))</f>
        <v/>
      </c>
      <c r="R340" s="15" t="n"/>
    </row>
    <row r="341">
      <c r="A341" s="15" t="n"/>
      <c r="B341" s="15" t="n"/>
      <c r="C341" s="15" t="n"/>
      <c r="D341" s="15" t="n"/>
      <c r="E341" s="15" t="n"/>
      <c r="F341" s="15" t="n"/>
      <c r="G341" s="15" t="n"/>
      <c r="H341" s="15" t="n"/>
      <c r="I341" s="15" t="n"/>
      <c r="J341" s="15" t="inlineStr">
        <is>
          <t>Không</t>
        </is>
      </c>
      <c r="K341" s="15" t="n"/>
      <c r="L341" s="15" t="n"/>
      <c r="M341" s="15" t="inlineStr">
        <is>
          <t>Mở</t>
        </is>
      </c>
      <c r="N341" s="15" t="n"/>
      <c r="O341" s="15">
        <f>IF(OR(B341="",L341=""),"",B341+IF(L341="P0",0,IF(L341="P1",7,IF(L341="P2",30,90))))</f>
        <v/>
      </c>
      <c r="P341" s="15" t="n"/>
      <c r="Q341" s="15">
        <f>IF(B341="","",IF(P341&lt;&gt;"",P341-B341,TODAY()-B341))</f>
        <v/>
      </c>
      <c r="R341" s="15" t="n"/>
    </row>
    <row r="342">
      <c r="A342" s="15" t="n"/>
      <c r="B342" s="15" t="n"/>
      <c r="C342" s="15" t="n"/>
      <c r="D342" s="15" t="n"/>
      <c r="E342" s="15" t="n"/>
      <c r="F342" s="15" t="n"/>
      <c r="G342" s="15" t="n"/>
      <c r="H342" s="15" t="n"/>
      <c r="I342" s="15" t="n"/>
      <c r="J342" s="15" t="inlineStr">
        <is>
          <t>Không</t>
        </is>
      </c>
      <c r="K342" s="15" t="n"/>
      <c r="L342" s="15" t="n"/>
      <c r="M342" s="15" t="inlineStr">
        <is>
          <t>Mở</t>
        </is>
      </c>
      <c r="N342" s="15" t="n"/>
      <c r="O342" s="15">
        <f>IF(OR(B342="",L342=""),"",B342+IF(L342="P0",0,IF(L342="P1",7,IF(L342="P2",30,90))))</f>
        <v/>
      </c>
      <c r="P342" s="15" t="n"/>
      <c r="Q342" s="15">
        <f>IF(B342="","",IF(P342&lt;&gt;"",P342-B342,TODAY()-B342))</f>
        <v/>
      </c>
      <c r="R342" s="15" t="n"/>
    </row>
    <row r="343">
      <c r="A343" s="15" t="n"/>
      <c r="B343" s="15" t="n"/>
      <c r="C343" s="15" t="n"/>
      <c r="D343" s="15" t="n"/>
      <c r="E343" s="15" t="n"/>
      <c r="F343" s="15" t="n"/>
      <c r="G343" s="15" t="n"/>
      <c r="H343" s="15" t="n"/>
      <c r="I343" s="15" t="n"/>
      <c r="J343" s="15" t="inlineStr">
        <is>
          <t>Không</t>
        </is>
      </c>
      <c r="K343" s="15" t="n"/>
      <c r="L343" s="15" t="n"/>
      <c r="M343" s="15" t="inlineStr">
        <is>
          <t>Mở</t>
        </is>
      </c>
      <c r="N343" s="15" t="n"/>
      <c r="O343" s="15">
        <f>IF(OR(B343="",L343=""),"",B343+IF(L343="P0",0,IF(L343="P1",7,IF(L343="P2",30,90))))</f>
        <v/>
      </c>
      <c r="P343" s="15" t="n"/>
      <c r="Q343" s="15">
        <f>IF(B343="","",IF(P343&lt;&gt;"",P343-B343,TODAY()-B343))</f>
        <v/>
      </c>
      <c r="R343" s="15" t="n"/>
    </row>
    <row r="344">
      <c r="A344" s="15" t="n"/>
      <c r="B344" s="15" t="n"/>
      <c r="C344" s="15" t="n"/>
      <c r="D344" s="15" t="n"/>
      <c r="E344" s="15" t="n"/>
      <c r="F344" s="15" t="n"/>
      <c r="G344" s="15" t="n"/>
      <c r="H344" s="15" t="n"/>
      <c r="I344" s="15" t="n"/>
      <c r="J344" s="15" t="inlineStr">
        <is>
          <t>Không</t>
        </is>
      </c>
      <c r="K344" s="15" t="n"/>
      <c r="L344" s="15" t="n"/>
      <c r="M344" s="15" t="inlineStr">
        <is>
          <t>Mở</t>
        </is>
      </c>
      <c r="N344" s="15" t="n"/>
      <c r="O344" s="15">
        <f>IF(OR(B344="",L344=""),"",B344+IF(L344="P0",0,IF(L344="P1",7,IF(L344="P2",30,90))))</f>
        <v/>
      </c>
      <c r="P344" s="15" t="n"/>
      <c r="Q344" s="15">
        <f>IF(B344="","",IF(P344&lt;&gt;"",P344-B344,TODAY()-B344))</f>
        <v/>
      </c>
      <c r="R344" s="15" t="n"/>
    </row>
    <row r="345">
      <c r="A345" s="15" t="n"/>
      <c r="B345" s="15" t="n"/>
      <c r="C345" s="15" t="n"/>
      <c r="D345" s="15" t="n"/>
      <c r="E345" s="15" t="n"/>
      <c r="F345" s="15" t="n"/>
      <c r="G345" s="15" t="n"/>
      <c r="H345" s="15" t="n"/>
      <c r="I345" s="15" t="n"/>
      <c r="J345" s="15" t="inlineStr">
        <is>
          <t>Không</t>
        </is>
      </c>
      <c r="K345" s="15" t="n"/>
      <c r="L345" s="15" t="n"/>
      <c r="M345" s="15" t="inlineStr">
        <is>
          <t>Mở</t>
        </is>
      </c>
      <c r="N345" s="15" t="n"/>
      <c r="O345" s="15">
        <f>IF(OR(B345="",L345=""),"",B345+IF(L345="P0",0,IF(L345="P1",7,IF(L345="P2",30,90))))</f>
        <v/>
      </c>
      <c r="P345" s="15" t="n"/>
      <c r="Q345" s="15">
        <f>IF(B345="","",IF(P345&lt;&gt;"",P345-B345,TODAY()-B345))</f>
        <v/>
      </c>
      <c r="R345" s="15" t="n"/>
    </row>
    <row r="346">
      <c r="A346" s="15" t="n"/>
      <c r="B346" s="15" t="n"/>
      <c r="C346" s="15" t="n"/>
      <c r="D346" s="15" t="n"/>
      <c r="E346" s="15" t="n"/>
      <c r="F346" s="15" t="n"/>
      <c r="G346" s="15" t="n"/>
      <c r="H346" s="15" t="n"/>
      <c r="I346" s="15" t="n"/>
      <c r="J346" s="15" t="inlineStr">
        <is>
          <t>Không</t>
        </is>
      </c>
      <c r="K346" s="15" t="n"/>
      <c r="L346" s="15" t="n"/>
      <c r="M346" s="15" t="inlineStr">
        <is>
          <t>Mở</t>
        </is>
      </c>
      <c r="N346" s="15" t="n"/>
      <c r="O346" s="15">
        <f>IF(OR(B346="",L346=""),"",B346+IF(L346="P0",0,IF(L346="P1",7,IF(L346="P2",30,90))))</f>
        <v/>
      </c>
      <c r="P346" s="15" t="n"/>
      <c r="Q346" s="15">
        <f>IF(B346="","",IF(P346&lt;&gt;"",P346-B346,TODAY()-B346))</f>
        <v/>
      </c>
      <c r="R346" s="15" t="n"/>
    </row>
    <row r="347">
      <c r="A347" s="15" t="n"/>
      <c r="B347" s="15" t="n"/>
      <c r="C347" s="15" t="n"/>
      <c r="D347" s="15" t="n"/>
      <c r="E347" s="15" t="n"/>
      <c r="F347" s="15" t="n"/>
      <c r="G347" s="15" t="n"/>
      <c r="H347" s="15" t="n"/>
      <c r="I347" s="15" t="n"/>
      <c r="J347" s="15" t="inlineStr">
        <is>
          <t>Không</t>
        </is>
      </c>
      <c r="K347" s="15" t="n"/>
      <c r="L347" s="15" t="n"/>
      <c r="M347" s="15" t="inlineStr">
        <is>
          <t>Mở</t>
        </is>
      </c>
      <c r="N347" s="15" t="n"/>
      <c r="O347" s="15">
        <f>IF(OR(B347="",L347=""),"",B347+IF(L347="P0",0,IF(L347="P1",7,IF(L347="P2",30,90))))</f>
        <v/>
      </c>
      <c r="P347" s="15" t="n"/>
      <c r="Q347" s="15">
        <f>IF(B347="","",IF(P347&lt;&gt;"",P347-B347,TODAY()-B347))</f>
        <v/>
      </c>
      <c r="R347" s="15" t="n"/>
    </row>
    <row r="348">
      <c r="A348" s="15" t="n"/>
      <c r="B348" s="15" t="n"/>
      <c r="C348" s="15" t="n"/>
      <c r="D348" s="15" t="n"/>
      <c r="E348" s="15" t="n"/>
      <c r="F348" s="15" t="n"/>
      <c r="G348" s="15" t="n"/>
      <c r="H348" s="15" t="n"/>
      <c r="I348" s="15" t="n"/>
      <c r="J348" s="15" t="inlineStr">
        <is>
          <t>Không</t>
        </is>
      </c>
      <c r="K348" s="15" t="n"/>
      <c r="L348" s="15" t="n"/>
      <c r="M348" s="15" t="inlineStr">
        <is>
          <t>Mở</t>
        </is>
      </c>
      <c r="N348" s="15" t="n"/>
      <c r="O348" s="15">
        <f>IF(OR(B348="",L348=""),"",B348+IF(L348="P0",0,IF(L348="P1",7,IF(L348="P2",30,90))))</f>
        <v/>
      </c>
      <c r="P348" s="15" t="n"/>
      <c r="Q348" s="15">
        <f>IF(B348="","",IF(P348&lt;&gt;"",P348-B348,TODAY()-B348))</f>
        <v/>
      </c>
      <c r="R348" s="15" t="n"/>
    </row>
    <row r="349">
      <c r="A349" s="15" t="n"/>
      <c r="B349" s="15" t="n"/>
      <c r="C349" s="15" t="n"/>
      <c r="D349" s="15" t="n"/>
      <c r="E349" s="15" t="n"/>
      <c r="F349" s="15" t="n"/>
      <c r="G349" s="15" t="n"/>
      <c r="H349" s="15" t="n"/>
      <c r="I349" s="15" t="n"/>
      <c r="J349" s="15" t="inlineStr">
        <is>
          <t>Không</t>
        </is>
      </c>
      <c r="K349" s="15" t="n"/>
      <c r="L349" s="15" t="n"/>
      <c r="M349" s="15" t="inlineStr">
        <is>
          <t>Mở</t>
        </is>
      </c>
      <c r="N349" s="15" t="n"/>
      <c r="O349" s="15">
        <f>IF(OR(B349="",L349=""),"",B349+IF(L349="P0",0,IF(L349="P1",7,IF(L349="P2",30,90))))</f>
        <v/>
      </c>
      <c r="P349" s="15" t="n"/>
      <c r="Q349" s="15">
        <f>IF(B349="","",IF(P349&lt;&gt;"",P349-B349,TODAY()-B349))</f>
        <v/>
      </c>
      <c r="R349" s="15" t="n"/>
    </row>
    <row r="350">
      <c r="A350" s="15" t="n"/>
      <c r="B350" s="15" t="n"/>
      <c r="C350" s="15" t="n"/>
      <c r="D350" s="15" t="n"/>
      <c r="E350" s="15" t="n"/>
      <c r="F350" s="15" t="n"/>
      <c r="G350" s="15" t="n"/>
      <c r="H350" s="15" t="n"/>
      <c r="I350" s="15" t="n"/>
      <c r="J350" s="15" t="inlineStr">
        <is>
          <t>Không</t>
        </is>
      </c>
      <c r="K350" s="15" t="n"/>
      <c r="L350" s="15" t="n"/>
      <c r="M350" s="15" t="inlineStr">
        <is>
          <t>Mở</t>
        </is>
      </c>
      <c r="N350" s="15" t="n"/>
      <c r="O350" s="15">
        <f>IF(OR(B350="",L350=""),"",B350+IF(L350="P0",0,IF(L350="P1",7,IF(L350="P2",30,90))))</f>
        <v/>
      </c>
      <c r="P350" s="15" t="n"/>
      <c r="Q350" s="15">
        <f>IF(B350="","",IF(P350&lt;&gt;"",P350-B350,TODAY()-B350))</f>
        <v/>
      </c>
      <c r="R350" s="15" t="n"/>
    </row>
    <row r="351">
      <c r="A351" s="15" t="n"/>
      <c r="B351" s="15" t="n"/>
      <c r="C351" s="15" t="n"/>
      <c r="D351" s="15" t="n"/>
      <c r="E351" s="15" t="n"/>
      <c r="F351" s="15" t="n"/>
      <c r="G351" s="15" t="n"/>
      <c r="H351" s="15" t="n"/>
      <c r="I351" s="15" t="n"/>
      <c r="J351" s="15" t="inlineStr">
        <is>
          <t>Không</t>
        </is>
      </c>
      <c r="K351" s="15" t="n"/>
      <c r="L351" s="15" t="n"/>
      <c r="M351" s="15" t="inlineStr">
        <is>
          <t>Mở</t>
        </is>
      </c>
      <c r="N351" s="15" t="n"/>
      <c r="O351" s="15">
        <f>IF(OR(B351="",L351=""),"",B351+IF(L351="P0",0,IF(L351="P1",7,IF(L351="P2",30,90))))</f>
        <v/>
      </c>
      <c r="P351" s="15" t="n"/>
      <c r="Q351" s="15">
        <f>IF(B351="","",IF(P351&lt;&gt;"",P351-B351,TODAY()-B351))</f>
        <v/>
      </c>
      <c r="R351" s="15" t="n"/>
    </row>
    <row r="352">
      <c r="A352" s="15" t="n"/>
      <c r="B352" s="15" t="n"/>
      <c r="C352" s="15" t="n"/>
      <c r="D352" s="15" t="n"/>
      <c r="E352" s="15" t="n"/>
      <c r="F352" s="15" t="n"/>
      <c r="G352" s="15" t="n"/>
      <c r="H352" s="15" t="n"/>
      <c r="I352" s="15" t="n"/>
      <c r="J352" s="15" t="inlineStr">
        <is>
          <t>Không</t>
        </is>
      </c>
      <c r="K352" s="15" t="n"/>
      <c r="L352" s="15" t="n"/>
      <c r="M352" s="15" t="inlineStr">
        <is>
          <t>Mở</t>
        </is>
      </c>
      <c r="N352" s="15" t="n"/>
      <c r="O352" s="15">
        <f>IF(OR(B352="",L352=""),"",B352+IF(L352="P0",0,IF(L352="P1",7,IF(L352="P2",30,90))))</f>
        <v/>
      </c>
      <c r="P352" s="15" t="n"/>
      <c r="Q352" s="15">
        <f>IF(B352="","",IF(P352&lt;&gt;"",P352-B352,TODAY()-B352))</f>
        <v/>
      </c>
      <c r="R352" s="15" t="n"/>
    </row>
    <row r="353">
      <c r="A353" s="15" t="n"/>
      <c r="B353" s="15" t="n"/>
      <c r="C353" s="15" t="n"/>
      <c r="D353" s="15" t="n"/>
      <c r="E353" s="15" t="n"/>
      <c r="F353" s="15" t="n"/>
      <c r="G353" s="15" t="n"/>
      <c r="H353" s="15" t="n"/>
      <c r="I353" s="15" t="n"/>
      <c r="J353" s="15" t="inlineStr">
        <is>
          <t>Không</t>
        </is>
      </c>
      <c r="K353" s="15" t="n"/>
      <c r="L353" s="15" t="n"/>
      <c r="M353" s="15" t="inlineStr">
        <is>
          <t>Mở</t>
        </is>
      </c>
      <c r="N353" s="15" t="n"/>
      <c r="O353" s="15">
        <f>IF(OR(B353="",L353=""),"",B353+IF(L353="P0",0,IF(L353="P1",7,IF(L353="P2",30,90))))</f>
        <v/>
      </c>
      <c r="P353" s="15" t="n"/>
      <c r="Q353" s="15">
        <f>IF(B353="","",IF(P353&lt;&gt;"",P353-B353,TODAY()-B353))</f>
        <v/>
      </c>
      <c r="R353" s="15" t="n"/>
    </row>
    <row r="354">
      <c r="A354" s="15" t="n"/>
      <c r="B354" s="15" t="n"/>
      <c r="C354" s="15" t="n"/>
      <c r="D354" s="15" t="n"/>
      <c r="E354" s="15" t="n"/>
      <c r="F354" s="15" t="n"/>
      <c r="G354" s="15" t="n"/>
      <c r="H354" s="15" t="n"/>
      <c r="I354" s="15" t="n"/>
      <c r="J354" s="15" t="inlineStr">
        <is>
          <t>Không</t>
        </is>
      </c>
      <c r="K354" s="15" t="n"/>
      <c r="L354" s="15" t="n"/>
      <c r="M354" s="15" t="inlineStr">
        <is>
          <t>Mở</t>
        </is>
      </c>
      <c r="N354" s="15" t="n"/>
      <c r="O354" s="15">
        <f>IF(OR(B354="",L354=""),"",B354+IF(L354="P0",0,IF(L354="P1",7,IF(L354="P2",30,90))))</f>
        <v/>
      </c>
      <c r="P354" s="15" t="n"/>
      <c r="Q354" s="15">
        <f>IF(B354="","",IF(P354&lt;&gt;"",P354-B354,TODAY()-B354))</f>
        <v/>
      </c>
      <c r="R354" s="15" t="n"/>
    </row>
    <row r="355">
      <c r="A355" s="15" t="n"/>
      <c r="B355" s="15" t="n"/>
      <c r="C355" s="15" t="n"/>
      <c r="D355" s="15" t="n"/>
      <c r="E355" s="15" t="n"/>
      <c r="F355" s="15" t="n"/>
      <c r="G355" s="15" t="n"/>
      <c r="H355" s="15" t="n"/>
      <c r="I355" s="15" t="n"/>
      <c r="J355" s="15" t="inlineStr">
        <is>
          <t>Không</t>
        </is>
      </c>
      <c r="K355" s="15" t="n"/>
      <c r="L355" s="15" t="n"/>
      <c r="M355" s="15" t="inlineStr">
        <is>
          <t>Mở</t>
        </is>
      </c>
      <c r="N355" s="15" t="n"/>
      <c r="O355" s="15">
        <f>IF(OR(B355="",L355=""),"",B355+IF(L355="P0",0,IF(L355="P1",7,IF(L355="P2",30,90))))</f>
        <v/>
      </c>
      <c r="P355" s="15" t="n"/>
      <c r="Q355" s="15">
        <f>IF(B355="","",IF(P355&lt;&gt;"",P355-B355,TODAY()-B355))</f>
        <v/>
      </c>
      <c r="R355" s="15" t="n"/>
    </row>
    <row r="356">
      <c r="A356" s="15" t="n"/>
      <c r="B356" s="15" t="n"/>
      <c r="C356" s="15" t="n"/>
      <c r="D356" s="15" t="n"/>
      <c r="E356" s="15" t="n"/>
      <c r="F356" s="15" t="n"/>
      <c r="G356" s="15" t="n"/>
      <c r="H356" s="15" t="n"/>
      <c r="I356" s="15" t="n"/>
      <c r="J356" s="15" t="inlineStr">
        <is>
          <t>Không</t>
        </is>
      </c>
      <c r="K356" s="15" t="n"/>
      <c r="L356" s="15" t="n"/>
      <c r="M356" s="15" t="inlineStr">
        <is>
          <t>Mở</t>
        </is>
      </c>
      <c r="N356" s="15" t="n"/>
      <c r="O356" s="15">
        <f>IF(OR(B356="",L356=""),"",B356+IF(L356="P0",0,IF(L356="P1",7,IF(L356="P2",30,90))))</f>
        <v/>
      </c>
      <c r="P356" s="15" t="n"/>
      <c r="Q356" s="15">
        <f>IF(B356="","",IF(P356&lt;&gt;"",P356-B356,TODAY()-B356))</f>
        <v/>
      </c>
      <c r="R356" s="15" t="n"/>
    </row>
    <row r="357">
      <c r="A357" s="15" t="n"/>
      <c r="B357" s="15" t="n"/>
      <c r="C357" s="15" t="n"/>
      <c r="D357" s="15" t="n"/>
      <c r="E357" s="15" t="n"/>
      <c r="F357" s="15" t="n"/>
      <c r="G357" s="15" t="n"/>
      <c r="H357" s="15" t="n"/>
      <c r="I357" s="15" t="n"/>
      <c r="J357" s="15" t="inlineStr">
        <is>
          <t>Không</t>
        </is>
      </c>
      <c r="K357" s="15" t="n"/>
      <c r="L357" s="15" t="n"/>
      <c r="M357" s="15" t="inlineStr">
        <is>
          <t>Mở</t>
        </is>
      </c>
      <c r="N357" s="15" t="n"/>
      <c r="O357" s="15">
        <f>IF(OR(B357="",L357=""),"",B357+IF(L357="P0",0,IF(L357="P1",7,IF(L357="P2",30,90))))</f>
        <v/>
      </c>
      <c r="P357" s="15" t="n"/>
      <c r="Q357" s="15">
        <f>IF(B357="","",IF(P357&lt;&gt;"",P357-B357,TODAY()-B357))</f>
        <v/>
      </c>
      <c r="R357" s="15" t="n"/>
    </row>
    <row r="358">
      <c r="A358" s="15" t="n"/>
      <c r="B358" s="15" t="n"/>
      <c r="C358" s="15" t="n"/>
      <c r="D358" s="15" t="n"/>
      <c r="E358" s="15" t="n"/>
      <c r="F358" s="15" t="n"/>
      <c r="G358" s="15" t="n"/>
      <c r="H358" s="15" t="n"/>
      <c r="I358" s="15" t="n"/>
      <c r="J358" s="15" t="inlineStr">
        <is>
          <t>Không</t>
        </is>
      </c>
      <c r="K358" s="15" t="n"/>
      <c r="L358" s="15" t="n"/>
      <c r="M358" s="15" t="inlineStr">
        <is>
          <t>Mở</t>
        </is>
      </c>
      <c r="N358" s="15" t="n"/>
      <c r="O358" s="15">
        <f>IF(OR(B358="",L358=""),"",B358+IF(L358="P0",0,IF(L358="P1",7,IF(L358="P2",30,90))))</f>
        <v/>
      </c>
      <c r="P358" s="15" t="n"/>
      <c r="Q358" s="15">
        <f>IF(B358="","",IF(P358&lt;&gt;"",P358-B358,TODAY()-B358))</f>
        <v/>
      </c>
      <c r="R358" s="15" t="n"/>
    </row>
    <row r="359">
      <c r="A359" s="15" t="n"/>
      <c r="B359" s="15" t="n"/>
      <c r="C359" s="15" t="n"/>
      <c r="D359" s="15" t="n"/>
      <c r="E359" s="15" t="n"/>
      <c r="F359" s="15" t="n"/>
      <c r="G359" s="15" t="n"/>
      <c r="H359" s="15" t="n"/>
      <c r="I359" s="15" t="n"/>
      <c r="J359" s="15" t="inlineStr">
        <is>
          <t>Không</t>
        </is>
      </c>
      <c r="K359" s="15" t="n"/>
      <c r="L359" s="15" t="n"/>
      <c r="M359" s="15" t="inlineStr">
        <is>
          <t>Mở</t>
        </is>
      </c>
      <c r="N359" s="15" t="n"/>
      <c r="O359" s="15">
        <f>IF(OR(B359="",L359=""),"",B359+IF(L359="P0",0,IF(L359="P1",7,IF(L359="P2",30,90))))</f>
        <v/>
      </c>
      <c r="P359" s="15" t="n"/>
      <c r="Q359" s="15">
        <f>IF(B359="","",IF(P359&lt;&gt;"",P359-B359,TODAY()-B359))</f>
        <v/>
      </c>
      <c r="R359" s="15" t="n"/>
    </row>
    <row r="360">
      <c r="A360" s="15" t="n"/>
      <c r="B360" s="15" t="n"/>
      <c r="C360" s="15" t="n"/>
      <c r="D360" s="15" t="n"/>
      <c r="E360" s="15" t="n"/>
      <c r="F360" s="15" t="n"/>
      <c r="G360" s="15" t="n"/>
      <c r="H360" s="15" t="n"/>
      <c r="I360" s="15" t="n"/>
      <c r="J360" s="15" t="inlineStr">
        <is>
          <t>Không</t>
        </is>
      </c>
      <c r="K360" s="15" t="n"/>
      <c r="L360" s="15" t="n"/>
      <c r="M360" s="15" t="inlineStr">
        <is>
          <t>Mở</t>
        </is>
      </c>
      <c r="N360" s="15" t="n"/>
      <c r="O360" s="15">
        <f>IF(OR(B360="",L360=""),"",B360+IF(L360="P0",0,IF(L360="P1",7,IF(L360="P2",30,90))))</f>
        <v/>
      </c>
      <c r="P360" s="15" t="n"/>
      <c r="Q360" s="15">
        <f>IF(B360="","",IF(P360&lt;&gt;"",P360-B360,TODAY()-B360))</f>
        <v/>
      </c>
      <c r="R360" s="15" t="n"/>
    </row>
    <row r="361">
      <c r="A361" s="15" t="n"/>
      <c r="B361" s="15" t="n"/>
      <c r="C361" s="15" t="n"/>
      <c r="D361" s="15" t="n"/>
      <c r="E361" s="15" t="n"/>
      <c r="F361" s="15" t="n"/>
      <c r="G361" s="15" t="n"/>
      <c r="H361" s="15" t="n"/>
      <c r="I361" s="15" t="n"/>
      <c r="J361" s="15" t="inlineStr">
        <is>
          <t>Không</t>
        </is>
      </c>
      <c r="K361" s="15" t="n"/>
      <c r="L361" s="15" t="n"/>
      <c r="M361" s="15" t="inlineStr">
        <is>
          <t>Mở</t>
        </is>
      </c>
      <c r="N361" s="15" t="n"/>
      <c r="O361" s="15">
        <f>IF(OR(B361="",L361=""),"",B361+IF(L361="P0",0,IF(L361="P1",7,IF(L361="P2",30,90))))</f>
        <v/>
      </c>
      <c r="P361" s="15" t="n"/>
      <c r="Q361" s="15">
        <f>IF(B361="","",IF(P361&lt;&gt;"",P361-B361,TODAY()-B361))</f>
        <v/>
      </c>
      <c r="R361" s="15" t="n"/>
    </row>
    <row r="362">
      <c r="A362" s="15" t="n"/>
      <c r="B362" s="15" t="n"/>
      <c r="C362" s="15" t="n"/>
      <c r="D362" s="15" t="n"/>
      <c r="E362" s="15" t="n"/>
      <c r="F362" s="15" t="n"/>
      <c r="G362" s="15" t="n"/>
      <c r="H362" s="15" t="n"/>
      <c r="I362" s="15" t="n"/>
      <c r="J362" s="15" t="inlineStr">
        <is>
          <t>Không</t>
        </is>
      </c>
      <c r="K362" s="15" t="n"/>
      <c r="L362" s="15" t="n"/>
      <c r="M362" s="15" t="inlineStr">
        <is>
          <t>Mở</t>
        </is>
      </c>
      <c r="N362" s="15" t="n"/>
      <c r="O362" s="15">
        <f>IF(OR(B362="",L362=""),"",B362+IF(L362="P0",0,IF(L362="P1",7,IF(L362="P2",30,90))))</f>
        <v/>
      </c>
      <c r="P362" s="15" t="n"/>
      <c r="Q362" s="15">
        <f>IF(B362="","",IF(P362&lt;&gt;"",P362-B362,TODAY()-B362))</f>
        <v/>
      </c>
      <c r="R362" s="15" t="n"/>
    </row>
    <row r="363">
      <c r="A363" s="15" t="n"/>
      <c r="B363" s="15" t="n"/>
      <c r="C363" s="15" t="n"/>
      <c r="D363" s="15" t="n"/>
      <c r="E363" s="15" t="n"/>
      <c r="F363" s="15" t="n"/>
      <c r="G363" s="15" t="n"/>
      <c r="H363" s="15" t="n"/>
      <c r="I363" s="15" t="n"/>
      <c r="J363" s="15" t="inlineStr">
        <is>
          <t>Không</t>
        </is>
      </c>
      <c r="K363" s="15" t="n"/>
      <c r="L363" s="15" t="n"/>
      <c r="M363" s="15" t="inlineStr">
        <is>
          <t>Mở</t>
        </is>
      </c>
      <c r="N363" s="15" t="n"/>
      <c r="O363" s="15">
        <f>IF(OR(B363="",L363=""),"",B363+IF(L363="P0",0,IF(L363="P1",7,IF(L363="P2",30,90))))</f>
        <v/>
      </c>
      <c r="P363" s="15" t="n"/>
      <c r="Q363" s="15">
        <f>IF(B363="","",IF(P363&lt;&gt;"",P363-B363,TODAY()-B363))</f>
        <v/>
      </c>
      <c r="R363" s="15" t="n"/>
    </row>
    <row r="364">
      <c r="A364" s="15" t="n"/>
      <c r="B364" s="15" t="n"/>
      <c r="C364" s="15" t="n"/>
      <c r="D364" s="15" t="n"/>
      <c r="E364" s="15" t="n"/>
      <c r="F364" s="15" t="n"/>
      <c r="G364" s="15" t="n"/>
      <c r="H364" s="15" t="n"/>
      <c r="I364" s="15" t="n"/>
      <c r="J364" s="15" t="inlineStr">
        <is>
          <t>Không</t>
        </is>
      </c>
      <c r="K364" s="15" t="n"/>
      <c r="L364" s="15" t="n"/>
      <c r="M364" s="15" t="inlineStr">
        <is>
          <t>Mở</t>
        </is>
      </c>
      <c r="N364" s="15" t="n"/>
      <c r="O364" s="15">
        <f>IF(OR(B364="",L364=""),"",B364+IF(L364="P0",0,IF(L364="P1",7,IF(L364="P2",30,90))))</f>
        <v/>
      </c>
      <c r="P364" s="15" t="n"/>
      <c r="Q364" s="15">
        <f>IF(B364="","",IF(P364&lt;&gt;"",P364-B364,TODAY()-B364))</f>
        <v/>
      </c>
      <c r="R364" s="15" t="n"/>
    </row>
    <row r="365">
      <c r="A365" s="15" t="n"/>
      <c r="B365" s="15" t="n"/>
      <c r="C365" s="15" t="n"/>
      <c r="D365" s="15" t="n"/>
      <c r="E365" s="15" t="n"/>
      <c r="F365" s="15" t="n"/>
      <c r="G365" s="15" t="n"/>
      <c r="H365" s="15" t="n"/>
      <c r="I365" s="15" t="n"/>
      <c r="J365" s="15" t="inlineStr">
        <is>
          <t>Không</t>
        </is>
      </c>
      <c r="K365" s="15" t="n"/>
      <c r="L365" s="15" t="n"/>
      <c r="M365" s="15" t="inlineStr">
        <is>
          <t>Mở</t>
        </is>
      </c>
      <c r="N365" s="15" t="n"/>
      <c r="O365" s="15">
        <f>IF(OR(B365="",L365=""),"",B365+IF(L365="P0",0,IF(L365="P1",7,IF(L365="P2",30,90))))</f>
        <v/>
      </c>
      <c r="P365" s="15" t="n"/>
      <c r="Q365" s="15">
        <f>IF(B365="","",IF(P365&lt;&gt;"",P365-B365,TODAY()-B365))</f>
        <v/>
      </c>
      <c r="R365" s="15" t="n"/>
    </row>
    <row r="366">
      <c r="A366" s="15" t="n"/>
      <c r="B366" s="15" t="n"/>
      <c r="C366" s="15" t="n"/>
      <c r="D366" s="15" t="n"/>
      <c r="E366" s="15" t="n"/>
      <c r="F366" s="15" t="n"/>
      <c r="G366" s="15" t="n"/>
      <c r="H366" s="15" t="n"/>
      <c r="I366" s="15" t="n"/>
      <c r="J366" s="15" t="inlineStr">
        <is>
          <t>Không</t>
        </is>
      </c>
      <c r="K366" s="15" t="n"/>
      <c r="L366" s="15" t="n"/>
      <c r="M366" s="15" t="inlineStr">
        <is>
          <t>Mở</t>
        </is>
      </c>
      <c r="N366" s="15" t="n"/>
      <c r="O366" s="15">
        <f>IF(OR(B366="",L366=""),"",B366+IF(L366="P0",0,IF(L366="P1",7,IF(L366="P2",30,90))))</f>
        <v/>
      </c>
      <c r="P366" s="15" t="n"/>
      <c r="Q366" s="15">
        <f>IF(B366="","",IF(P366&lt;&gt;"",P366-B366,TODAY()-B366))</f>
        <v/>
      </c>
      <c r="R366" s="15" t="n"/>
    </row>
    <row r="367">
      <c r="A367" s="15" t="n"/>
      <c r="B367" s="15" t="n"/>
      <c r="C367" s="15" t="n"/>
      <c r="D367" s="15" t="n"/>
      <c r="E367" s="15" t="n"/>
      <c r="F367" s="15" t="n"/>
      <c r="G367" s="15" t="n"/>
      <c r="H367" s="15" t="n"/>
      <c r="I367" s="15" t="n"/>
      <c r="J367" s="15" t="inlineStr">
        <is>
          <t>Không</t>
        </is>
      </c>
      <c r="K367" s="15" t="n"/>
      <c r="L367" s="15" t="n"/>
      <c r="M367" s="15" t="inlineStr">
        <is>
          <t>Mở</t>
        </is>
      </c>
      <c r="N367" s="15" t="n"/>
      <c r="O367" s="15">
        <f>IF(OR(B367="",L367=""),"",B367+IF(L367="P0",0,IF(L367="P1",7,IF(L367="P2",30,90))))</f>
        <v/>
      </c>
      <c r="P367" s="15" t="n"/>
      <c r="Q367" s="15">
        <f>IF(B367="","",IF(P367&lt;&gt;"",P367-B367,TODAY()-B367))</f>
        <v/>
      </c>
      <c r="R367" s="15" t="n"/>
    </row>
    <row r="368">
      <c r="A368" s="15" t="n"/>
      <c r="B368" s="15" t="n"/>
      <c r="C368" s="15" t="n"/>
      <c r="D368" s="15" t="n"/>
      <c r="E368" s="15" t="n"/>
      <c r="F368" s="15" t="n"/>
      <c r="G368" s="15" t="n"/>
      <c r="H368" s="15" t="n"/>
      <c r="I368" s="15" t="n"/>
      <c r="J368" s="15" t="inlineStr">
        <is>
          <t>Không</t>
        </is>
      </c>
      <c r="K368" s="15" t="n"/>
      <c r="L368" s="15" t="n"/>
      <c r="M368" s="15" t="inlineStr">
        <is>
          <t>Mở</t>
        </is>
      </c>
      <c r="N368" s="15" t="n"/>
      <c r="O368" s="15">
        <f>IF(OR(B368="",L368=""),"",B368+IF(L368="P0",0,IF(L368="P1",7,IF(L368="P2",30,90))))</f>
        <v/>
      </c>
      <c r="P368" s="15" t="n"/>
      <c r="Q368" s="15">
        <f>IF(B368="","",IF(P368&lt;&gt;"",P368-B368,TODAY()-B368))</f>
        <v/>
      </c>
      <c r="R368" s="15" t="n"/>
    </row>
    <row r="369">
      <c r="A369" s="15" t="n"/>
      <c r="B369" s="15" t="n"/>
      <c r="C369" s="15" t="n"/>
      <c r="D369" s="15" t="n"/>
      <c r="E369" s="15" t="n"/>
      <c r="F369" s="15" t="n"/>
      <c r="G369" s="15" t="n"/>
      <c r="H369" s="15" t="n"/>
      <c r="I369" s="15" t="n"/>
      <c r="J369" s="15" t="inlineStr">
        <is>
          <t>Không</t>
        </is>
      </c>
      <c r="K369" s="15" t="n"/>
      <c r="L369" s="15" t="n"/>
      <c r="M369" s="15" t="inlineStr">
        <is>
          <t>Mở</t>
        </is>
      </c>
      <c r="N369" s="15" t="n"/>
      <c r="O369" s="15">
        <f>IF(OR(B369="",L369=""),"",B369+IF(L369="P0",0,IF(L369="P1",7,IF(L369="P2",30,90))))</f>
        <v/>
      </c>
      <c r="P369" s="15" t="n"/>
      <c r="Q369" s="15">
        <f>IF(B369="","",IF(P369&lt;&gt;"",P369-B369,TODAY()-B369))</f>
        <v/>
      </c>
      <c r="R369" s="15" t="n"/>
    </row>
    <row r="370">
      <c r="A370" s="15" t="n"/>
      <c r="B370" s="15" t="n"/>
      <c r="C370" s="15" t="n"/>
      <c r="D370" s="15" t="n"/>
      <c r="E370" s="15" t="n"/>
      <c r="F370" s="15" t="n"/>
      <c r="G370" s="15" t="n"/>
      <c r="H370" s="15" t="n"/>
      <c r="I370" s="15" t="n"/>
      <c r="J370" s="15" t="inlineStr">
        <is>
          <t>Không</t>
        </is>
      </c>
      <c r="K370" s="15" t="n"/>
      <c r="L370" s="15" t="n"/>
      <c r="M370" s="15" t="inlineStr">
        <is>
          <t>Mở</t>
        </is>
      </c>
      <c r="N370" s="15" t="n"/>
      <c r="O370" s="15">
        <f>IF(OR(B370="",L370=""),"",B370+IF(L370="P0",0,IF(L370="P1",7,IF(L370="P2",30,90))))</f>
        <v/>
      </c>
      <c r="P370" s="15" t="n"/>
      <c r="Q370" s="15">
        <f>IF(B370="","",IF(P370&lt;&gt;"",P370-B370,TODAY()-B370))</f>
        <v/>
      </c>
      <c r="R370" s="15" t="n"/>
    </row>
    <row r="371">
      <c r="A371" s="15" t="n"/>
      <c r="B371" s="15" t="n"/>
      <c r="C371" s="15" t="n"/>
      <c r="D371" s="15" t="n"/>
      <c r="E371" s="15" t="n"/>
      <c r="F371" s="15" t="n"/>
      <c r="G371" s="15" t="n"/>
      <c r="H371" s="15" t="n"/>
      <c r="I371" s="15" t="n"/>
      <c r="J371" s="15" t="inlineStr">
        <is>
          <t>Không</t>
        </is>
      </c>
      <c r="K371" s="15" t="n"/>
      <c r="L371" s="15" t="n"/>
      <c r="M371" s="15" t="inlineStr">
        <is>
          <t>Mở</t>
        </is>
      </c>
      <c r="N371" s="15" t="n"/>
      <c r="O371" s="15">
        <f>IF(OR(B371="",L371=""),"",B371+IF(L371="P0",0,IF(L371="P1",7,IF(L371="P2",30,90))))</f>
        <v/>
      </c>
      <c r="P371" s="15" t="n"/>
      <c r="Q371" s="15">
        <f>IF(B371="","",IF(P371&lt;&gt;"",P371-B371,TODAY()-B371))</f>
        <v/>
      </c>
      <c r="R371" s="15" t="n"/>
    </row>
    <row r="372">
      <c r="A372" s="15" t="n"/>
      <c r="B372" s="15" t="n"/>
      <c r="C372" s="15" t="n"/>
      <c r="D372" s="15" t="n"/>
      <c r="E372" s="15" t="n"/>
      <c r="F372" s="15" t="n"/>
      <c r="G372" s="15" t="n"/>
      <c r="H372" s="15" t="n"/>
      <c r="I372" s="15" t="n"/>
      <c r="J372" s="15" t="inlineStr">
        <is>
          <t>Không</t>
        </is>
      </c>
      <c r="K372" s="15" t="n"/>
      <c r="L372" s="15" t="n"/>
      <c r="M372" s="15" t="inlineStr">
        <is>
          <t>Mở</t>
        </is>
      </c>
      <c r="N372" s="15" t="n"/>
      <c r="O372" s="15">
        <f>IF(OR(B372="",L372=""),"",B372+IF(L372="P0",0,IF(L372="P1",7,IF(L372="P2",30,90))))</f>
        <v/>
      </c>
      <c r="P372" s="15" t="n"/>
      <c r="Q372" s="15">
        <f>IF(B372="","",IF(P372&lt;&gt;"",P372-B372,TODAY()-B372))</f>
        <v/>
      </c>
      <c r="R372" s="15" t="n"/>
    </row>
    <row r="373">
      <c r="A373" s="15" t="n"/>
      <c r="B373" s="15" t="n"/>
      <c r="C373" s="15" t="n"/>
      <c r="D373" s="15" t="n"/>
      <c r="E373" s="15" t="n"/>
      <c r="F373" s="15" t="n"/>
      <c r="G373" s="15" t="n"/>
      <c r="H373" s="15" t="n"/>
      <c r="I373" s="15" t="n"/>
      <c r="J373" s="15" t="inlineStr">
        <is>
          <t>Không</t>
        </is>
      </c>
      <c r="K373" s="15" t="n"/>
      <c r="L373" s="15" t="n"/>
      <c r="M373" s="15" t="inlineStr">
        <is>
          <t>Mở</t>
        </is>
      </c>
      <c r="N373" s="15" t="n"/>
      <c r="O373" s="15">
        <f>IF(OR(B373="",L373=""),"",B373+IF(L373="P0",0,IF(L373="P1",7,IF(L373="P2",30,90))))</f>
        <v/>
      </c>
      <c r="P373" s="15" t="n"/>
      <c r="Q373" s="15">
        <f>IF(B373="","",IF(P373&lt;&gt;"",P373-B373,TODAY()-B373))</f>
        <v/>
      </c>
      <c r="R373" s="15" t="n"/>
    </row>
    <row r="374">
      <c r="A374" s="15" t="n"/>
      <c r="B374" s="15" t="n"/>
      <c r="C374" s="15" t="n"/>
      <c r="D374" s="15" t="n"/>
      <c r="E374" s="15" t="n"/>
      <c r="F374" s="15" t="n"/>
      <c r="G374" s="15" t="n"/>
      <c r="H374" s="15" t="n"/>
      <c r="I374" s="15" t="n"/>
      <c r="J374" s="15" t="inlineStr">
        <is>
          <t>Không</t>
        </is>
      </c>
      <c r="K374" s="15" t="n"/>
      <c r="L374" s="15" t="n"/>
      <c r="M374" s="15" t="inlineStr">
        <is>
          <t>Mở</t>
        </is>
      </c>
      <c r="N374" s="15" t="n"/>
      <c r="O374" s="15">
        <f>IF(OR(B374="",L374=""),"",B374+IF(L374="P0",0,IF(L374="P1",7,IF(L374="P2",30,90))))</f>
        <v/>
      </c>
      <c r="P374" s="15" t="n"/>
      <c r="Q374" s="15">
        <f>IF(B374="","",IF(P374&lt;&gt;"",P374-B374,TODAY()-B374))</f>
        <v/>
      </c>
      <c r="R374" s="15" t="n"/>
    </row>
    <row r="375">
      <c r="A375" s="15" t="n"/>
      <c r="B375" s="15" t="n"/>
      <c r="C375" s="15" t="n"/>
      <c r="D375" s="15" t="n"/>
      <c r="E375" s="15" t="n"/>
      <c r="F375" s="15" t="n"/>
      <c r="G375" s="15" t="n"/>
      <c r="H375" s="15" t="n"/>
      <c r="I375" s="15" t="n"/>
      <c r="J375" s="15" t="inlineStr">
        <is>
          <t>Không</t>
        </is>
      </c>
      <c r="K375" s="15" t="n"/>
      <c r="L375" s="15" t="n"/>
      <c r="M375" s="15" t="inlineStr">
        <is>
          <t>Mở</t>
        </is>
      </c>
      <c r="N375" s="15" t="n"/>
      <c r="O375" s="15">
        <f>IF(OR(B375="",L375=""),"",B375+IF(L375="P0",0,IF(L375="P1",7,IF(L375="P2",30,90))))</f>
        <v/>
      </c>
      <c r="P375" s="15" t="n"/>
      <c r="Q375" s="15">
        <f>IF(B375="","",IF(P375&lt;&gt;"",P375-B375,TODAY()-B375))</f>
        <v/>
      </c>
      <c r="R375" s="15" t="n"/>
    </row>
    <row r="376">
      <c r="A376" s="15" t="n"/>
      <c r="B376" s="15" t="n"/>
      <c r="C376" s="15" t="n"/>
      <c r="D376" s="15" t="n"/>
      <c r="E376" s="15" t="n"/>
      <c r="F376" s="15" t="n"/>
      <c r="G376" s="15" t="n"/>
      <c r="H376" s="15" t="n"/>
      <c r="I376" s="15" t="n"/>
      <c r="J376" s="15" t="inlineStr">
        <is>
          <t>Không</t>
        </is>
      </c>
      <c r="K376" s="15" t="n"/>
      <c r="L376" s="15" t="n"/>
      <c r="M376" s="15" t="inlineStr">
        <is>
          <t>Mở</t>
        </is>
      </c>
      <c r="N376" s="15" t="n"/>
      <c r="O376" s="15">
        <f>IF(OR(B376="",L376=""),"",B376+IF(L376="P0",0,IF(L376="P1",7,IF(L376="P2",30,90))))</f>
        <v/>
      </c>
      <c r="P376" s="15" t="n"/>
      <c r="Q376" s="15">
        <f>IF(B376="","",IF(P376&lt;&gt;"",P376-B376,TODAY()-B376))</f>
        <v/>
      </c>
      <c r="R376" s="15" t="n"/>
    </row>
    <row r="377">
      <c r="A377" s="15" t="n"/>
      <c r="B377" s="15" t="n"/>
      <c r="C377" s="15" t="n"/>
      <c r="D377" s="15" t="n"/>
      <c r="E377" s="15" t="n"/>
      <c r="F377" s="15" t="n"/>
      <c r="G377" s="15" t="n"/>
      <c r="H377" s="15" t="n"/>
      <c r="I377" s="15" t="n"/>
      <c r="J377" s="15" t="inlineStr">
        <is>
          <t>Không</t>
        </is>
      </c>
      <c r="K377" s="15" t="n"/>
      <c r="L377" s="15" t="n"/>
      <c r="M377" s="15" t="inlineStr">
        <is>
          <t>Mở</t>
        </is>
      </c>
      <c r="N377" s="15" t="n"/>
      <c r="O377" s="15">
        <f>IF(OR(B377="",L377=""),"",B377+IF(L377="P0",0,IF(L377="P1",7,IF(L377="P2",30,90))))</f>
        <v/>
      </c>
      <c r="P377" s="15" t="n"/>
      <c r="Q377" s="15">
        <f>IF(B377="","",IF(P377&lt;&gt;"",P377-B377,TODAY()-B377))</f>
        <v/>
      </c>
      <c r="R377" s="15" t="n"/>
    </row>
    <row r="378">
      <c r="A378" s="15" t="n"/>
      <c r="B378" s="15" t="n"/>
      <c r="C378" s="15" t="n"/>
      <c r="D378" s="15" t="n"/>
      <c r="E378" s="15" t="n"/>
      <c r="F378" s="15" t="n"/>
      <c r="G378" s="15" t="n"/>
      <c r="H378" s="15" t="n"/>
      <c r="I378" s="15" t="n"/>
      <c r="J378" s="15" t="inlineStr">
        <is>
          <t>Không</t>
        </is>
      </c>
      <c r="K378" s="15" t="n"/>
      <c r="L378" s="15" t="n"/>
      <c r="M378" s="15" t="inlineStr">
        <is>
          <t>Mở</t>
        </is>
      </c>
      <c r="N378" s="15" t="n"/>
      <c r="O378" s="15">
        <f>IF(OR(B378="",L378=""),"",B378+IF(L378="P0",0,IF(L378="P1",7,IF(L378="P2",30,90))))</f>
        <v/>
      </c>
      <c r="P378" s="15" t="n"/>
      <c r="Q378" s="15">
        <f>IF(B378="","",IF(P378&lt;&gt;"",P378-B378,TODAY()-B378))</f>
        <v/>
      </c>
      <c r="R378" s="15" t="n"/>
    </row>
    <row r="379">
      <c r="A379" s="15" t="n"/>
      <c r="B379" s="15" t="n"/>
      <c r="C379" s="15" t="n"/>
      <c r="D379" s="15" t="n"/>
      <c r="E379" s="15" t="n"/>
      <c r="F379" s="15" t="n"/>
      <c r="G379" s="15" t="n"/>
      <c r="H379" s="15" t="n"/>
      <c r="I379" s="15" t="n"/>
      <c r="J379" s="15" t="inlineStr">
        <is>
          <t>Không</t>
        </is>
      </c>
      <c r="K379" s="15" t="n"/>
      <c r="L379" s="15" t="n"/>
      <c r="M379" s="15" t="inlineStr">
        <is>
          <t>Mở</t>
        </is>
      </c>
      <c r="N379" s="15" t="n"/>
      <c r="O379" s="15">
        <f>IF(OR(B379="",L379=""),"",B379+IF(L379="P0",0,IF(L379="P1",7,IF(L379="P2",30,90))))</f>
        <v/>
      </c>
      <c r="P379" s="15" t="n"/>
      <c r="Q379" s="15">
        <f>IF(B379="","",IF(P379&lt;&gt;"",P379-B379,TODAY()-B379))</f>
        <v/>
      </c>
      <c r="R379" s="15" t="n"/>
    </row>
    <row r="380">
      <c r="A380" s="15" t="n"/>
      <c r="B380" s="15" t="n"/>
      <c r="C380" s="15" t="n"/>
      <c r="D380" s="15" t="n"/>
      <c r="E380" s="15" t="n"/>
      <c r="F380" s="15" t="n"/>
      <c r="G380" s="15" t="n"/>
      <c r="H380" s="15" t="n"/>
      <c r="I380" s="15" t="n"/>
      <c r="J380" s="15" t="inlineStr">
        <is>
          <t>Không</t>
        </is>
      </c>
      <c r="K380" s="15" t="n"/>
      <c r="L380" s="15" t="n"/>
      <c r="M380" s="15" t="inlineStr">
        <is>
          <t>Mở</t>
        </is>
      </c>
      <c r="N380" s="15" t="n"/>
      <c r="O380" s="15">
        <f>IF(OR(B380="",L380=""),"",B380+IF(L380="P0",0,IF(L380="P1",7,IF(L380="P2",30,90))))</f>
        <v/>
      </c>
      <c r="P380" s="15" t="n"/>
      <c r="Q380" s="15">
        <f>IF(B380="","",IF(P380&lt;&gt;"",P380-B380,TODAY()-B380))</f>
        <v/>
      </c>
      <c r="R380" s="15" t="n"/>
    </row>
    <row r="381">
      <c r="A381" s="15" t="n"/>
      <c r="B381" s="15" t="n"/>
      <c r="C381" s="15" t="n"/>
      <c r="D381" s="15" t="n"/>
      <c r="E381" s="15" t="n"/>
      <c r="F381" s="15" t="n"/>
      <c r="G381" s="15" t="n"/>
      <c r="H381" s="15" t="n"/>
      <c r="I381" s="15" t="n"/>
      <c r="J381" s="15" t="inlineStr">
        <is>
          <t>Không</t>
        </is>
      </c>
      <c r="K381" s="15" t="n"/>
      <c r="L381" s="15" t="n"/>
      <c r="M381" s="15" t="inlineStr">
        <is>
          <t>Mở</t>
        </is>
      </c>
      <c r="N381" s="15" t="n"/>
      <c r="O381" s="15">
        <f>IF(OR(B381="",L381=""),"",B381+IF(L381="P0",0,IF(L381="P1",7,IF(L381="P2",30,90))))</f>
        <v/>
      </c>
      <c r="P381" s="15" t="n"/>
      <c r="Q381" s="15">
        <f>IF(B381="","",IF(P381&lt;&gt;"",P381-B381,TODAY()-B381))</f>
        <v/>
      </c>
      <c r="R381" s="15" t="n"/>
    </row>
    <row r="382">
      <c r="A382" s="15" t="n"/>
      <c r="B382" s="15" t="n"/>
      <c r="C382" s="15" t="n"/>
      <c r="D382" s="15" t="n"/>
      <c r="E382" s="15" t="n"/>
      <c r="F382" s="15" t="n"/>
      <c r="G382" s="15" t="n"/>
      <c r="H382" s="15" t="n"/>
      <c r="I382" s="15" t="n"/>
      <c r="J382" s="15" t="inlineStr">
        <is>
          <t>Không</t>
        </is>
      </c>
      <c r="K382" s="15" t="n"/>
      <c r="L382" s="15" t="n"/>
      <c r="M382" s="15" t="inlineStr">
        <is>
          <t>Mở</t>
        </is>
      </c>
      <c r="N382" s="15" t="n"/>
      <c r="O382" s="15">
        <f>IF(OR(B382="",L382=""),"",B382+IF(L382="P0",0,IF(L382="P1",7,IF(L382="P2",30,90))))</f>
        <v/>
      </c>
      <c r="P382" s="15" t="n"/>
      <c r="Q382" s="15">
        <f>IF(B382="","",IF(P382&lt;&gt;"",P382-B382,TODAY()-B382))</f>
        <v/>
      </c>
      <c r="R382" s="15" t="n"/>
    </row>
    <row r="383">
      <c r="A383" s="15" t="n"/>
      <c r="B383" s="15" t="n"/>
      <c r="C383" s="15" t="n"/>
      <c r="D383" s="15" t="n"/>
      <c r="E383" s="15" t="n"/>
      <c r="F383" s="15" t="n"/>
      <c r="G383" s="15" t="n"/>
      <c r="H383" s="15" t="n"/>
      <c r="I383" s="15" t="n"/>
      <c r="J383" s="15" t="inlineStr">
        <is>
          <t>Không</t>
        </is>
      </c>
      <c r="K383" s="15" t="n"/>
      <c r="L383" s="15" t="n"/>
      <c r="M383" s="15" t="inlineStr">
        <is>
          <t>Mở</t>
        </is>
      </c>
      <c r="N383" s="15" t="n"/>
      <c r="O383" s="15">
        <f>IF(OR(B383="",L383=""),"",B383+IF(L383="P0",0,IF(L383="P1",7,IF(L383="P2",30,90))))</f>
        <v/>
      </c>
      <c r="P383" s="15" t="n"/>
      <c r="Q383" s="15">
        <f>IF(B383="","",IF(P383&lt;&gt;"",P383-B383,TODAY()-B383))</f>
        <v/>
      </c>
      <c r="R383" s="15" t="n"/>
    </row>
    <row r="384">
      <c r="A384" s="15" t="n"/>
      <c r="B384" s="15" t="n"/>
      <c r="C384" s="15" t="n"/>
      <c r="D384" s="15" t="n"/>
      <c r="E384" s="15" t="n"/>
      <c r="F384" s="15" t="n"/>
      <c r="G384" s="15" t="n"/>
      <c r="H384" s="15" t="n"/>
      <c r="I384" s="15" t="n"/>
      <c r="J384" s="15" t="inlineStr">
        <is>
          <t>Không</t>
        </is>
      </c>
      <c r="K384" s="15" t="n"/>
      <c r="L384" s="15" t="n"/>
      <c r="M384" s="15" t="inlineStr">
        <is>
          <t>Mở</t>
        </is>
      </c>
      <c r="N384" s="15" t="n"/>
      <c r="O384" s="15">
        <f>IF(OR(B384="",L384=""),"",B384+IF(L384="P0",0,IF(L384="P1",7,IF(L384="P2",30,90))))</f>
        <v/>
      </c>
      <c r="P384" s="15" t="n"/>
      <c r="Q384" s="15">
        <f>IF(B384="","",IF(P384&lt;&gt;"",P384-B384,TODAY()-B384))</f>
        <v/>
      </c>
      <c r="R384" s="15" t="n"/>
    </row>
    <row r="385">
      <c r="A385" s="15" t="n"/>
      <c r="B385" s="15" t="n"/>
      <c r="C385" s="15" t="n"/>
      <c r="D385" s="15" t="n"/>
      <c r="E385" s="15" t="n"/>
      <c r="F385" s="15" t="n"/>
      <c r="G385" s="15" t="n"/>
      <c r="H385" s="15" t="n"/>
      <c r="I385" s="15" t="n"/>
      <c r="J385" s="15" t="inlineStr">
        <is>
          <t>Không</t>
        </is>
      </c>
      <c r="K385" s="15" t="n"/>
      <c r="L385" s="15" t="n"/>
      <c r="M385" s="15" t="inlineStr">
        <is>
          <t>Mở</t>
        </is>
      </c>
      <c r="N385" s="15" t="n"/>
      <c r="O385" s="15">
        <f>IF(OR(B385="",L385=""),"",B385+IF(L385="P0",0,IF(L385="P1",7,IF(L385="P2",30,90))))</f>
        <v/>
      </c>
      <c r="P385" s="15" t="n"/>
      <c r="Q385" s="15">
        <f>IF(B385="","",IF(P385&lt;&gt;"",P385-B385,TODAY()-B385))</f>
        <v/>
      </c>
      <c r="R385" s="15" t="n"/>
    </row>
    <row r="386">
      <c r="A386" s="15" t="n"/>
      <c r="B386" s="15" t="n"/>
      <c r="C386" s="15" t="n"/>
      <c r="D386" s="15" t="n"/>
      <c r="E386" s="15" t="n"/>
      <c r="F386" s="15" t="n"/>
      <c r="G386" s="15" t="n"/>
      <c r="H386" s="15" t="n"/>
      <c r="I386" s="15" t="n"/>
      <c r="J386" s="15" t="inlineStr">
        <is>
          <t>Không</t>
        </is>
      </c>
      <c r="K386" s="15" t="n"/>
      <c r="L386" s="15" t="n"/>
      <c r="M386" s="15" t="inlineStr">
        <is>
          <t>Mở</t>
        </is>
      </c>
      <c r="N386" s="15" t="n"/>
      <c r="O386" s="15">
        <f>IF(OR(B386="",L386=""),"",B386+IF(L386="P0",0,IF(L386="P1",7,IF(L386="P2",30,90))))</f>
        <v/>
      </c>
      <c r="P386" s="15" t="n"/>
      <c r="Q386" s="15">
        <f>IF(B386="","",IF(P386&lt;&gt;"",P386-B386,TODAY()-B386))</f>
        <v/>
      </c>
      <c r="R386" s="15" t="n"/>
    </row>
    <row r="387">
      <c r="A387" s="15" t="n"/>
      <c r="B387" s="15" t="n"/>
      <c r="C387" s="15" t="n"/>
      <c r="D387" s="15" t="n"/>
      <c r="E387" s="15" t="n"/>
      <c r="F387" s="15" t="n"/>
      <c r="G387" s="15" t="n"/>
      <c r="H387" s="15" t="n"/>
      <c r="I387" s="15" t="n"/>
      <c r="J387" s="15" t="inlineStr">
        <is>
          <t>Không</t>
        </is>
      </c>
      <c r="K387" s="15" t="n"/>
      <c r="L387" s="15" t="n"/>
      <c r="M387" s="15" t="inlineStr">
        <is>
          <t>Mở</t>
        </is>
      </c>
      <c r="N387" s="15" t="n"/>
      <c r="O387" s="15">
        <f>IF(OR(B387="",L387=""),"",B387+IF(L387="P0",0,IF(L387="P1",7,IF(L387="P2",30,90))))</f>
        <v/>
      </c>
      <c r="P387" s="15" t="n"/>
      <c r="Q387" s="15">
        <f>IF(B387="","",IF(P387&lt;&gt;"",P387-B387,TODAY()-B387))</f>
        <v/>
      </c>
      <c r="R387" s="15" t="n"/>
    </row>
    <row r="388">
      <c r="A388" s="15" t="n"/>
      <c r="B388" s="15" t="n"/>
      <c r="C388" s="15" t="n"/>
      <c r="D388" s="15" t="n"/>
      <c r="E388" s="15" t="n"/>
      <c r="F388" s="15" t="n"/>
      <c r="G388" s="15" t="n"/>
      <c r="H388" s="15" t="n"/>
      <c r="I388" s="15" t="n"/>
      <c r="J388" s="15" t="inlineStr">
        <is>
          <t>Không</t>
        </is>
      </c>
      <c r="K388" s="15" t="n"/>
      <c r="L388" s="15" t="n"/>
      <c r="M388" s="15" t="inlineStr">
        <is>
          <t>Mở</t>
        </is>
      </c>
      <c r="N388" s="15" t="n"/>
      <c r="O388" s="15">
        <f>IF(OR(B388="",L388=""),"",B388+IF(L388="P0",0,IF(L388="P1",7,IF(L388="P2",30,90))))</f>
        <v/>
      </c>
      <c r="P388" s="15" t="n"/>
      <c r="Q388" s="15">
        <f>IF(B388="","",IF(P388&lt;&gt;"",P388-B388,TODAY()-B388))</f>
        <v/>
      </c>
      <c r="R388" s="15" t="n"/>
    </row>
    <row r="389">
      <c r="A389" s="15" t="n"/>
      <c r="B389" s="15" t="n"/>
      <c r="C389" s="15" t="n"/>
      <c r="D389" s="15" t="n"/>
      <c r="E389" s="15" t="n"/>
      <c r="F389" s="15" t="n"/>
      <c r="G389" s="15" t="n"/>
      <c r="H389" s="15" t="n"/>
      <c r="I389" s="15" t="n"/>
      <c r="J389" s="15" t="inlineStr">
        <is>
          <t>Không</t>
        </is>
      </c>
      <c r="K389" s="15" t="n"/>
      <c r="L389" s="15" t="n"/>
      <c r="M389" s="15" t="inlineStr">
        <is>
          <t>Mở</t>
        </is>
      </c>
      <c r="N389" s="15" t="n"/>
      <c r="O389" s="15">
        <f>IF(OR(B389="",L389=""),"",B389+IF(L389="P0",0,IF(L389="P1",7,IF(L389="P2",30,90))))</f>
        <v/>
      </c>
      <c r="P389" s="15" t="n"/>
      <c r="Q389" s="15">
        <f>IF(B389="","",IF(P389&lt;&gt;"",P389-B389,TODAY()-B389))</f>
        <v/>
      </c>
      <c r="R389" s="15" t="n"/>
    </row>
    <row r="390">
      <c r="A390" s="15" t="n"/>
      <c r="B390" s="15" t="n"/>
      <c r="C390" s="15" t="n"/>
      <c r="D390" s="15" t="n"/>
      <c r="E390" s="15" t="n"/>
      <c r="F390" s="15" t="n"/>
      <c r="G390" s="15" t="n"/>
      <c r="H390" s="15" t="n"/>
      <c r="I390" s="15" t="n"/>
      <c r="J390" s="15" t="inlineStr">
        <is>
          <t>Không</t>
        </is>
      </c>
      <c r="K390" s="15" t="n"/>
      <c r="L390" s="15" t="n"/>
      <c r="M390" s="15" t="inlineStr">
        <is>
          <t>Mở</t>
        </is>
      </c>
      <c r="N390" s="15" t="n"/>
      <c r="O390" s="15">
        <f>IF(OR(B390="",L390=""),"",B390+IF(L390="P0",0,IF(L390="P1",7,IF(L390="P2",30,90))))</f>
        <v/>
      </c>
      <c r="P390" s="15" t="n"/>
      <c r="Q390" s="15">
        <f>IF(B390="","",IF(P390&lt;&gt;"",P390-B390,TODAY()-B390))</f>
        <v/>
      </c>
      <c r="R390" s="15" t="n"/>
    </row>
    <row r="391">
      <c r="A391" s="15" t="n"/>
      <c r="B391" s="15" t="n"/>
      <c r="C391" s="15" t="n"/>
      <c r="D391" s="15" t="n"/>
      <c r="E391" s="15" t="n"/>
      <c r="F391" s="15" t="n"/>
      <c r="G391" s="15" t="n"/>
      <c r="H391" s="15" t="n"/>
      <c r="I391" s="15" t="n"/>
      <c r="J391" s="15" t="inlineStr">
        <is>
          <t>Không</t>
        </is>
      </c>
      <c r="K391" s="15" t="n"/>
      <c r="L391" s="15" t="n"/>
      <c r="M391" s="15" t="inlineStr">
        <is>
          <t>Mở</t>
        </is>
      </c>
      <c r="N391" s="15" t="n"/>
      <c r="O391" s="15">
        <f>IF(OR(B391="",L391=""),"",B391+IF(L391="P0",0,IF(L391="P1",7,IF(L391="P2",30,90))))</f>
        <v/>
      </c>
      <c r="P391" s="15" t="n"/>
      <c r="Q391" s="15">
        <f>IF(B391="","",IF(P391&lt;&gt;"",P391-B391,TODAY()-B391))</f>
        <v/>
      </c>
      <c r="R391" s="15" t="n"/>
    </row>
    <row r="392">
      <c r="A392" s="15" t="n"/>
      <c r="B392" s="15" t="n"/>
      <c r="C392" s="15" t="n"/>
      <c r="D392" s="15" t="n"/>
      <c r="E392" s="15" t="n"/>
      <c r="F392" s="15" t="n"/>
      <c r="G392" s="15" t="n"/>
      <c r="H392" s="15" t="n"/>
      <c r="I392" s="15" t="n"/>
      <c r="J392" s="15" t="inlineStr">
        <is>
          <t>Không</t>
        </is>
      </c>
      <c r="K392" s="15" t="n"/>
      <c r="L392" s="15" t="n"/>
      <c r="M392" s="15" t="inlineStr">
        <is>
          <t>Mở</t>
        </is>
      </c>
      <c r="N392" s="15" t="n"/>
      <c r="O392" s="15">
        <f>IF(OR(B392="",L392=""),"",B392+IF(L392="P0",0,IF(L392="P1",7,IF(L392="P2",30,90))))</f>
        <v/>
      </c>
      <c r="P392" s="15" t="n"/>
      <c r="Q392" s="15">
        <f>IF(B392="","",IF(P392&lt;&gt;"",P392-B392,TODAY()-B392))</f>
        <v/>
      </c>
      <c r="R392" s="15" t="n"/>
    </row>
    <row r="393">
      <c r="A393" s="15" t="n"/>
      <c r="B393" s="15" t="n"/>
      <c r="C393" s="15" t="n"/>
      <c r="D393" s="15" t="n"/>
      <c r="E393" s="15" t="n"/>
      <c r="F393" s="15" t="n"/>
      <c r="G393" s="15" t="n"/>
      <c r="H393" s="15" t="n"/>
      <c r="I393" s="15" t="n"/>
      <c r="J393" s="15" t="inlineStr">
        <is>
          <t>Không</t>
        </is>
      </c>
      <c r="K393" s="15" t="n"/>
      <c r="L393" s="15" t="n"/>
      <c r="M393" s="15" t="inlineStr">
        <is>
          <t>Mở</t>
        </is>
      </c>
      <c r="N393" s="15" t="n"/>
      <c r="O393" s="15">
        <f>IF(OR(B393="",L393=""),"",B393+IF(L393="P0",0,IF(L393="P1",7,IF(L393="P2",30,90))))</f>
        <v/>
      </c>
      <c r="P393" s="15" t="n"/>
      <c r="Q393" s="15">
        <f>IF(B393="","",IF(P393&lt;&gt;"",P393-B393,TODAY()-B393))</f>
        <v/>
      </c>
      <c r="R393" s="15" t="n"/>
    </row>
    <row r="394">
      <c r="A394" s="15" t="n"/>
      <c r="B394" s="15" t="n"/>
      <c r="C394" s="15" t="n"/>
      <c r="D394" s="15" t="n"/>
      <c r="E394" s="15" t="n"/>
      <c r="F394" s="15" t="n"/>
      <c r="G394" s="15" t="n"/>
      <c r="H394" s="15" t="n"/>
      <c r="I394" s="15" t="n"/>
      <c r="J394" s="15" t="inlineStr">
        <is>
          <t>Không</t>
        </is>
      </c>
      <c r="K394" s="15" t="n"/>
      <c r="L394" s="15" t="n"/>
      <c r="M394" s="15" t="inlineStr">
        <is>
          <t>Mở</t>
        </is>
      </c>
      <c r="N394" s="15" t="n"/>
      <c r="O394" s="15">
        <f>IF(OR(B394="",L394=""),"",B394+IF(L394="P0",0,IF(L394="P1",7,IF(L394="P2",30,90))))</f>
        <v/>
      </c>
      <c r="P394" s="15" t="n"/>
      <c r="Q394" s="15">
        <f>IF(B394="","",IF(P394&lt;&gt;"",P394-B394,TODAY()-B394))</f>
        <v/>
      </c>
      <c r="R394" s="15" t="n"/>
    </row>
    <row r="395">
      <c r="A395" s="15" t="n"/>
      <c r="B395" s="15" t="n"/>
      <c r="C395" s="15" t="n"/>
      <c r="D395" s="15" t="n"/>
      <c r="E395" s="15" t="n"/>
      <c r="F395" s="15" t="n"/>
      <c r="G395" s="15" t="n"/>
      <c r="H395" s="15" t="n"/>
      <c r="I395" s="15" t="n"/>
      <c r="J395" s="15" t="inlineStr">
        <is>
          <t>Không</t>
        </is>
      </c>
      <c r="K395" s="15" t="n"/>
      <c r="L395" s="15" t="n"/>
      <c r="M395" s="15" t="inlineStr">
        <is>
          <t>Mở</t>
        </is>
      </c>
      <c r="N395" s="15" t="n"/>
      <c r="O395" s="15">
        <f>IF(OR(B395="",L395=""),"",B395+IF(L395="P0",0,IF(L395="P1",7,IF(L395="P2",30,90))))</f>
        <v/>
      </c>
      <c r="P395" s="15" t="n"/>
      <c r="Q395" s="15">
        <f>IF(B395="","",IF(P395&lt;&gt;"",P395-B395,TODAY()-B395))</f>
        <v/>
      </c>
      <c r="R395" s="15" t="n"/>
    </row>
    <row r="396">
      <c r="A396" s="15" t="n"/>
      <c r="B396" s="15" t="n"/>
      <c r="C396" s="15" t="n"/>
      <c r="D396" s="15" t="n"/>
      <c r="E396" s="15" t="n"/>
      <c r="F396" s="15" t="n"/>
      <c r="G396" s="15" t="n"/>
      <c r="H396" s="15" t="n"/>
      <c r="I396" s="15" t="n"/>
      <c r="J396" s="15" t="inlineStr">
        <is>
          <t>Không</t>
        </is>
      </c>
      <c r="K396" s="15" t="n"/>
      <c r="L396" s="15" t="n"/>
      <c r="M396" s="15" t="inlineStr">
        <is>
          <t>Mở</t>
        </is>
      </c>
      <c r="N396" s="15" t="n"/>
      <c r="O396" s="15">
        <f>IF(OR(B396="",L396=""),"",B396+IF(L396="P0",0,IF(L396="P1",7,IF(L396="P2",30,90))))</f>
        <v/>
      </c>
      <c r="P396" s="15" t="n"/>
      <c r="Q396" s="15">
        <f>IF(B396="","",IF(P396&lt;&gt;"",P396-B396,TODAY()-B396))</f>
        <v/>
      </c>
      <c r="R396" s="15" t="n"/>
    </row>
    <row r="397">
      <c r="A397" s="15" t="n"/>
      <c r="B397" s="15" t="n"/>
      <c r="C397" s="15" t="n"/>
      <c r="D397" s="15" t="n"/>
      <c r="E397" s="15" t="n"/>
      <c r="F397" s="15" t="n"/>
      <c r="G397" s="15" t="n"/>
      <c r="H397" s="15" t="n"/>
      <c r="I397" s="15" t="n"/>
      <c r="J397" s="15" t="inlineStr">
        <is>
          <t>Không</t>
        </is>
      </c>
      <c r="K397" s="15" t="n"/>
      <c r="L397" s="15" t="n"/>
      <c r="M397" s="15" t="inlineStr">
        <is>
          <t>Mở</t>
        </is>
      </c>
      <c r="N397" s="15" t="n"/>
      <c r="O397" s="15">
        <f>IF(OR(B397="",L397=""),"",B397+IF(L397="P0",0,IF(L397="P1",7,IF(L397="P2",30,90))))</f>
        <v/>
      </c>
      <c r="P397" s="15" t="n"/>
      <c r="Q397" s="15">
        <f>IF(B397="","",IF(P397&lt;&gt;"",P397-B397,TODAY()-B397))</f>
        <v/>
      </c>
      <c r="R397" s="15" t="n"/>
    </row>
    <row r="398">
      <c r="A398" s="15" t="n"/>
      <c r="B398" s="15" t="n"/>
      <c r="C398" s="15" t="n"/>
      <c r="D398" s="15" t="n"/>
      <c r="E398" s="15" t="n"/>
      <c r="F398" s="15" t="n"/>
      <c r="G398" s="15" t="n"/>
      <c r="H398" s="15" t="n"/>
      <c r="I398" s="15" t="n"/>
      <c r="J398" s="15" t="inlineStr">
        <is>
          <t>Không</t>
        </is>
      </c>
      <c r="K398" s="15" t="n"/>
      <c r="L398" s="15" t="n"/>
      <c r="M398" s="15" t="inlineStr">
        <is>
          <t>Mở</t>
        </is>
      </c>
      <c r="N398" s="15" t="n"/>
      <c r="O398" s="15">
        <f>IF(OR(B398="",L398=""),"",B398+IF(L398="P0",0,IF(L398="P1",7,IF(L398="P2",30,90))))</f>
        <v/>
      </c>
      <c r="P398" s="15" t="n"/>
      <c r="Q398" s="15">
        <f>IF(B398="","",IF(P398&lt;&gt;"",P398-B398,TODAY()-B398))</f>
        <v/>
      </c>
      <c r="R398" s="15" t="n"/>
    </row>
    <row r="399">
      <c r="A399" s="15" t="n"/>
      <c r="B399" s="15" t="n"/>
      <c r="C399" s="15" t="n"/>
      <c r="D399" s="15" t="n"/>
      <c r="E399" s="15" t="n"/>
      <c r="F399" s="15" t="n"/>
      <c r="G399" s="15" t="n"/>
      <c r="H399" s="15" t="n"/>
      <c r="I399" s="15" t="n"/>
      <c r="J399" s="15" t="inlineStr">
        <is>
          <t>Không</t>
        </is>
      </c>
      <c r="K399" s="15" t="n"/>
      <c r="L399" s="15" t="n"/>
      <c r="M399" s="15" t="inlineStr">
        <is>
          <t>Mở</t>
        </is>
      </c>
      <c r="N399" s="15" t="n"/>
      <c r="O399" s="15">
        <f>IF(OR(B399="",L399=""),"",B399+IF(L399="P0",0,IF(L399="P1",7,IF(L399="P2",30,90))))</f>
        <v/>
      </c>
      <c r="P399" s="15" t="n"/>
      <c r="Q399" s="15">
        <f>IF(B399="","",IF(P399&lt;&gt;"",P399-B399,TODAY()-B399))</f>
        <v/>
      </c>
      <c r="R399" s="15" t="n"/>
    </row>
    <row r="400">
      <c r="A400" s="15" t="n"/>
      <c r="B400" s="15" t="n"/>
      <c r="C400" s="15" t="n"/>
      <c r="D400" s="15" t="n"/>
      <c r="E400" s="15" t="n"/>
      <c r="F400" s="15" t="n"/>
      <c r="G400" s="15" t="n"/>
      <c r="H400" s="15" t="n"/>
      <c r="I400" s="15" t="n"/>
      <c r="J400" s="15" t="inlineStr">
        <is>
          <t>Không</t>
        </is>
      </c>
      <c r="K400" s="15" t="n"/>
      <c r="L400" s="15" t="n"/>
      <c r="M400" s="15" t="inlineStr">
        <is>
          <t>Mở</t>
        </is>
      </c>
      <c r="N400" s="15" t="n"/>
      <c r="O400" s="15">
        <f>IF(OR(B400="",L400=""),"",B400+IF(L400="P0",0,IF(L400="P1",7,IF(L400="P2",30,90))))</f>
        <v/>
      </c>
      <c r="P400" s="15" t="n"/>
      <c r="Q400" s="15">
        <f>IF(B400="","",IF(P400&lt;&gt;"",P400-B400,TODAY()-B400))</f>
        <v/>
      </c>
      <c r="R400" s="15" t="n"/>
    </row>
    <row r="401">
      <c r="A401" s="15" t="n"/>
      <c r="B401" s="15" t="n"/>
      <c r="C401" s="15" t="n"/>
      <c r="D401" s="15" t="n"/>
      <c r="E401" s="15" t="n"/>
      <c r="F401" s="15" t="n"/>
      <c r="G401" s="15" t="n"/>
      <c r="H401" s="15" t="n"/>
      <c r="I401" s="15" t="n"/>
      <c r="J401" s="15" t="inlineStr">
        <is>
          <t>Không</t>
        </is>
      </c>
      <c r="K401" s="15" t="n"/>
      <c r="L401" s="15" t="n"/>
      <c r="M401" s="15" t="inlineStr">
        <is>
          <t>Mở</t>
        </is>
      </c>
      <c r="N401" s="15" t="n"/>
      <c r="O401" s="15">
        <f>IF(OR(B401="",L401=""),"",B401+IF(L401="P0",0,IF(L401="P1",7,IF(L401="P2",30,90))))</f>
        <v/>
      </c>
      <c r="P401" s="15" t="n"/>
      <c r="Q401" s="15">
        <f>IF(B401="","",IF(P401&lt;&gt;"",P401-B401,TODAY()-B401))</f>
        <v/>
      </c>
      <c r="R401" s="15" t="n"/>
    </row>
    <row r="402">
      <c r="A402" s="15" t="n"/>
      <c r="B402" s="15" t="n"/>
      <c r="C402" s="15" t="n"/>
      <c r="D402" s="15" t="n"/>
      <c r="E402" s="15" t="n"/>
      <c r="F402" s="15" t="n"/>
      <c r="G402" s="15" t="n"/>
      <c r="H402" s="15" t="n"/>
      <c r="I402" s="15" t="n"/>
      <c r="J402" s="15" t="inlineStr">
        <is>
          <t>Không</t>
        </is>
      </c>
      <c r="K402" s="15" t="n"/>
      <c r="L402" s="15" t="n"/>
      <c r="M402" s="15" t="inlineStr">
        <is>
          <t>Mở</t>
        </is>
      </c>
      <c r="N402" s="15" t="n"/>
      <c r="O402" s="15">
        <f>IF(OR(B402="",L402=""),"",B402+IF(L402="P0",0,IF(L402="P1",7,IF(L402="P2",30,90))))</f>
        <v/>
      </c>
      <c r="P402" s="15" t="n"/>
      <c r="Q402" s="15">
        <f>IF(B402="","",IF(P402&lt;&gt;"",P402-B402,TODAY()-B402))</f>
        <v/>
      </c>
      <c r="R402" s="15" t="n"/>
    </row>
    <row r="403">
      <c r="A403" s="15" t="n"/>
      <c r="B403" s="15" t="n"/>
      <c r="C403" s="15" t="n"/>
      <c r="D403" s="15" t="n"/>
      <c r="E403" s="15" t="n"/>
      <c r="F403" s="15" t="n"/>
      <c r="G403" s="15" t="n"/>
      <c r="H403" s="15" t="n"/>
      <c r="I403" s="15" t="n"/>
      <c r="J403" s="15" t="inlineStr">
        <is>
          <t>Không</t>
        </is>
      </c>
      <c r="K403" s="15" t="n"/>
      <c r="L403" s="15" t="n"/>
      <c r="M403" s="15" t="inlineStr">
        <is>
          <t>Mở</t>
        </is>
      </c>
      <c r="N403" s="15" t="n"/>
      <c r="O403" s="15">
        <f>IF(OR(B403="",L403=""),"",B403+IF(L403="P0",0,IF(L403="P1",7,IF(L403="P2",30,90))))</f>
        <v/>
      </c>
      <c r="P403" s="15" t="n"/>
      <c r="Q403" s="15">
        <f>IF(B403="","",IF(P403&lt;&gt;"",P403-B403,TODAY()-B403))</f>
        <v/>
      </c>
      <c r="R403" s="15" t="n"/>
    </row>
    <row r="404">
      <c r="A404" s="15" t="n"/>
      <c r="B404" s="15" t="n"/>
      <c r="C404" s="15" t="n"/>
      <c r="D404" s="15" t="n"/>
      <c r="E404" s="15" t="n"/>
      <c r="F404" s="15" t="n"/>
      <c r="G404" s="15" t="n"/>
      <c r="H404" s="15" t="n"/>
      <c r="I404" s="15" t="n"/>
      <c r="J404" s="15" t="inlineStr">
        <is>
          <t>Không</t>
        </is>
      </c>
      <c r="K404" s="15" t="n"/>
      <c r="L404" s="15" t="n"/>
      <c r="M404" s="15" t="inlineStr">
        <is>
          <t>Mở</t>
        </is>
      </c>
      <c r="N404" s="15" t="n"/>
      <c r="O404" s="15">
        <f>IF(OR(B404="",L404=""),"",B404+IF(L404="P0",0,IF(L404="P1",7,IF(L404="P2",30,90))))</f>
        <v/>
      </c>
      <c r="P404" s="15" t="n"/>
      <c r="Q404" s="15">
        <f>IF(B404="","",IF(P404&lt;&gt;"",P404-B404,TODAY()-B404))</f>
        <v/>
      </c>
      <c r="R404" s="15" t="n"/>
    </row>
    <row r="405">
      <c r="A405" s="15" t="n"/>
      <c r="B405" s="15" t="n"/>
      <c r="C405" s="15" t="n"/>
      <c r="D405" s="15" t="n"/>
      <c r="E405" s="15" t="n"/>
      <c r="F405" s="15" t="n"/>
      <c r="G405" s="15" t="n"/>
      <c r="H405" s="15" t="n"/>
      <c r="I405" s="15" t="n"/>
      <c r="J405" s="15" t="inlineStr">
        <is>
          <t>Không</t>
        </is>
      </c>
      <c r="K405" s="15" t="n"/>
      <c r="L405" s="15" t="n"/>
      <c r="M405" s="15" t="inlineStr">
        <is>
          <t>Mở</t>
        </is>
      </c>
      <c r="N405" s="15" t="n"/>
      <c r="O405" s="15">
        <f>IF(OR(B405="",L405=""),"",B405+IF(L405="P0",0,IF(L405="P1",7,IF(L405="P2",30,90))))</f>
        <v/>
      </c>
      <c r="P405" s="15" t="n"/>
      <c r="Q405" s="15">
        <f>IF(B405="","",IF(P405&lt;&gt;"",P405-B405,TODAY()-B405))</f>
        <v/>
      </c>
      <c r="R405" s="15" t="n"/>
    </row>
    <row r="406">
      <c r="A406" s="15" t="n"/>
      <c r="B406" s="15" t="n"/>
      <c r="C406" s="15" t="n"/>
      <c r="D406" s="15" t="n"/>
      <c r="E406" s="15" t="n"/>
      <c r="F406" s="15" t="n"/>
      <c r="G406" s="15" t="n"/>
      <c r="H406" s="15" t="n"/>
      <c r="I406" s="15" t="n"/>
      <c r="J406" s="15" t="inlineStr">
        <is>
          <t>Không</t>
        </is>
      </c>
      <c r="K406" s="15" t="n"/>
      <c r="L406" s="15" t="n"/>
      <c r="M406" s="15" t="inlineStr">
        <is>
          <t>Mở</t>
        </is>
      </c>
      <c r="N406" s="15" t="n"/>
      <c r="O406" s="15">
        <f>IF(OR(B406="",L406=""),"",B406+IF(L406="P0",0,IF(L406="P1",7,IF(L406="P2",30,90))))</f>
        <v/>
      </c>
      <c r="P406" s="15" t="n"/>
      <c r="Q406" s="15">
        <f>IF(B406="","",IF(P406&lt;&gt;"",P406-B406,TODAY()-B406))</f>
        <v/>
      </c>
      <c r="R406" s="15" t="n"/>
    </row>
    <row r="407">
      <c r="A407" s="15" t="n"/>
      <c r="B407" s="15" t="n"/>
      <c r="C407" s="15" t="n"/>
      <c r="D407" s="15" t="n"/>
      <c r="E407" s="15" t="n"/>
      <c r="F407" s="15" t="n"/>
      <c r="G407" s="15" t="n"/>
      <c r="H407" s="15" t="n"/>
      <c r="I407" s="15" t="n"/>
      <c r="J407" s="15" t="inlineStr">
        <is>
          <t>Không</t>
        </is>
      </c>
      <c r="K407" s="15" t="n"/>
      <c r="L407" s="15" t="n"/>
      <c r="M407" s="15" t="inlineStr">
        <is>
          <t>Mở</t>
        </is>
      </c>
      <c r="N407" s="15" t="n"/>
      <c r="O407" s="15">
        <f>IF(OR(B407="",L407=""),"",B407+IF(L407="P0",0,IF(L407="P1",7,IF(L407="P2",30,90))))</f>
        <v/>
      </c>
      <c r="P407" s="15" t="n"/>
      <c r="Q407" s="15">
        <f>IF(B407="","",IF(P407&lt;&gt;"",P407-B407,TODAY()-B407))</f>
        <v/>
      </c>
      <c r="R407" s="15" t="n"/>
    </row>
    <row r="408">
      <c r="A408" s="15" t="n"/>
      <c r="B408" s="15" t="n"/>
      <c r="C408" s="15" t="n"/>
      <c r="D408" s="15" t="n"/>
      <c r="E408" s="15" t="n"/>
      <c r="F408" s="15" t="n"/>
      <c r="G408" s="15" t="n"/>
      <c r="H408" s="15" t="n"/>
      <c r="I408" s="15" t="n"/>
      <c r="J408" s="15" t="inlineStr">
        <is>
          <t>Không</t>
        </is>
      </c>
      <c r="K408" s="15" t="n"/>
      <c r="L408" s="15" t="n"/>
      <c r="M408" s="15" t="inlineStr">
        <is>
          <t>Mở</t>
        </is>
      </c>
      <c r="N408" s="15" t="n"/>
      <c r="O408" s="15">
        <f>IF(OR(B408="",L408=""),"",B408+IF(L408="P0",0,IF(L408="P1",7,IF(L408="P2",30,90))))</f>
        <v/>
      </c>
      <c r="P408" s="15" t="n"/>
      <c r="Q408" s="15">
        <f>IF(B408="","",IF(P408&lt;&gt;"",P408-B408,TODAY()-B408))</f>
        <v/>
      </c>
      <c r="R408" s="15" t="n"/>
    </row>
    <row r="409">
      <c r="A409" s="15" t="n"/>
      <c r="B409" s="15" t="n"/>
      <c r="C409" s="15" t="n"/>
      <c r="D409" s="15" t="n"/>
      <c r="E409" s="15" t="n"/>
      <c r="F409" s="15" t="n"/>
      <c r="G409" s="15" t="n"/>
      <c r="H409" s="15" t="n"/>
      <c r="I409" s="15" t="n"/>
      <c r="J409" s="15" t="inlineStr">
        <is>
          <t>Không</t>
        </is>
      </c>
      <c r="K409" s="15" t="n"/>
      <c r="L409" s="15" t="n"/>
      <c r="M409" s="15" t="inlineStr">
        <is>
          <t>Mở</t>
        </is>
      </c>
      <c r="N409" s="15" t="n"/>
      <c r="O409" s="15">
        <f>IF(OR(B409="",L409=""),"",B409+IF(L409="P0",0,IF(L409="P1",7,IF(L409="P2",30,90))))</f>
        <v/>
      </c>
      <c r="P409" s="15" t="n"/>
      <c r="Q409" s="15">
        <f>IF(B409="","",IF(P409&lt;&gt;"",P409-B409,TODAY()-B409))</f>
        <v/>
      </c>
      <c r="R409" s="15" t="n"/>
    </row>
    <row r="410">
      <c r="A410" s="15" t="n"/>
      <c r="B410" s="15" t="n"/>
      <c r="C410" s="15" t="n"/>
      <c r="D410" s="15" t="n"/>
      <c r="E410" s="15" t="n"/>
      <c r="F410" s="15" t="n"/>
      <c r="G410" s="15" t="n"/>
      <c r="H410" s="15" t="n"/>
      <c r="I410" s="15" t="n"/>
      <c r="J410" s="15" t="inlineStr">
        <is>
          <t>Không</t>
        </is>
      </c>
      <c r="K410" s="15" t="n"/>
      <c r="L410" s="15" t="n"/>
      <c r="M410" s="15" t="inlineStr">
        <is>
          <t>Mở</t>
        </is>
      </c>
      <c r="N410" s="15" t="n"/>
      <c r="O410" s="15">
        <f>IF(OR(B410="",L410=""),"",B410+IF(L410="P0",0,IF(L410="P1",7,IF(L410="P2",30,90))))</f>
        <v/>
      </c>
      <c r="P410" s="15" t="n"/>
      <c r="Q410" s="15">
        <f>IF(B410="","",IF(P410&lt;&gt;"",P410-B410,TODAY()-B410))</f>
        <v/>
      </c>
      <c r="R410" s="15" t="n"/>
    </row>
    <row r="411">
      <c r="A411" s="15" t="n"/>
      <c r="B411" s="15" t="n"/>
      <c r="C411" s="15" t="n"/>
      <c r="D411" s="15" t="n"/>
      <c r="E411" s="15" t="n"/>
      <c r="F411" s="15" t="n"/>
      <c r="G411" s="15" t="n"/>
      <c r="H411" s="15" t="n"/>
      <c r="I411" s="15" t="n"/>
      <c r="J411" s="15" t="inlineStr">
        <is>
          <t>Không</t>
        </is>
      </c>
      <c r="K411" s="15" t="n"/>
      <c r="L411" s="15" t="n"/>
      <c r="M411" s="15" t="inlineStr">
        <is>
          <t>Mở</t>
        </is>
      </c>
      <c r="N411" s="15" t="n"/>
      <c r="O411" s="15">
        <f>IF(OR(B411="",L411=""),"",B411+IF(L411="P0",0,IF(L411="P1",7,IF(L411="P2",30,90))))</f>
        <v/>
      </c>
      <c r="P411" s="15" t="n"/>
      <c r="Q411" s="15">
        <f>IF(B411="","",IF(P411&lt;&gt;"",P411-B411,TODAY()-B411))</f>
        <v/>
      </c>
      <c r="R411" s="15" t="n"/>
    </row>
    <row r="412">
      <c r="A412" s="15" t="n"/>
      <c r="B412" s="15" t="n"/>
      <c r="C412" s="15" t="n"/>
      <c r="D412" s="15" t="n"/>
      <c r="E412" s="15" t="n"/>
      <c r="F412" s="15" t="n"/>
      <c r="G412" s="15" t="n"/>
      <c r="H412" s="15" t="n"/>
      <c r="I412" s="15" t="n"/>
      <c r="J412" s="15" t="inlineStr">
        <is>
          <t>Không</t>
        </is>
      </c>
      <c r="K412" s="15" t="n"/>
      <c r="L412" s="15" t="n"/>
      <c r="M412" s="15" t="inlineStr">
        <is>
          <t>Mở</t>
        </is>
      </c>
      <c r="N412" s="15" t="n"/>
      <c r="O412" s="15">
        <f>IF(OR(B412="",L412=""),"",B412+IF(L412="P0",0,IF(L412="P1",7,IF(L412="P2",30,90))))</f>
        <v/>
      </c>
      <c r="P412" s="15" t="n"/>
      <c r="Q412" s="15">
        <f>IF(B412="","",IF(P412&lt;&gt;"",P412-B412,TODAY()-B412))</f>
        <v/>
      </c>
      <c r="R412" s="15" t="n"/>
    </row>
    <row r="413">
      <c r="A413" s="15" t="n"/>
      <c r="B413" s="15" t="n"/>
      <c r="C413" s="15" t="n"/>
      <c r="D413" s="15" t="n"/>
      <c r="E413" s="15" t="n"/>
      <c r="F413" s="15" t="n"/>
      <c r="G413" s="15" t="n"/>
      <c r="H413" s="15" t="n"/>
      <c r="I413" s="15" t="n"/>
      <c r="J413" s="15" t="inlineStr">
        <is>
          <t>Không</t>
        </is>
      </c>
      <c r="K413" s="15" t="n"/>
      <c r="L413" s="15" t="n"/>
      <c r="M413" s="15" t="inlineStr">
        <is>
          <t>Mở</t>
        </is>
      </c>
      <c r="N413" s="15" t="n"/>
      <c r="O413" s="15">
        <f>IF(OR(B413="",L413=""),"",B413+IF(L413="P0",0,IF(L413="P1",7,IF(L413="P2",30,90))))</f>
        <v/>
      </c>
      <c r="P413" s="15" t="n"/>
      <c r="Q413" s="15">
        <f>IF(B413="","",IF(P413&lt;&gt;"",P413-B413,TODAY()-B413))</f>
        <v/>
      </c>
      <c r="R413" s="15" t="n"/>
    </row>
    <row r="414">
      <c r="A414" s="15" t="n"/>
      <c r="B414" s="15" t="n"/>
      <c r="C414" s="15" t="n"/>
      <c r="D414" s="15" t="n"/>
      <c r="E414" s="15" t="n"/>
      <c r="F414" s="15" t="n"/>
      <c r="G414" s="15" t="n"/>
      <c r="H414" s="15" t="n"/>
      <c r="I414" s="15" t="n"/>
      <c r="J414" s="15" t="inlineStr">
        <is>
          <t>Không</t>
        </is>
      </c>
      <c r="K414" s="15" t="n"/>
      <c r="L414" s="15" t="n"/>
      <c r="M414" s="15" t="inlineStr">
        <is>
          <t>Mở</t>
        </is>
      </c>
      <c r="N414" s="15" t="n"/>
      <c r="O414" s="15">
        <f>IF(OR(B414="",L414=""),"",B414+IF(L414="P0",0,IF(L414="P1",7,IF(L414="P2",30,90))))</f>
        <v/>
      </c>
      <c r="P414" s="15" t="n"/>
      <c r="Q414" s="15">
        <f>IF(B414="","",IF(P414&lt;&gt;"",P414-B414,TODAY()-B414))</f>
        <v/>
      </c>
      <c r="R414" s="15" t="n"/>
    </row>
    <row r="415">
      <c r="A415" s="15" t="n"/>
      <c r="B415" s="15" t="n"/>
      <c r="C415" s="15" t="n"/>
      <c r="D415" s="15" t="n"/>
      <c r="E415" s="15" t="n"/>
      <c r="F415" s="15" t="n"/>
      <c r="G415" s="15" t="n"/>
      <c r="H415" s="15" t="n"/>
      <c r="I415" s="15" t="n"/>
      <c r="J415" s="15" t="inlineStr">
        <is>
          <t>Không</t>
        </is>
      </c>
      <c r="K415" s="15" t="n"/>
      <c r="L415" s="15" t="n"/>
      <c r="M415" s="15" t="inlineStr">
        <is>
          <t>Mở</t>
        </is>
      </c>
      <c r="N415" s="15" t="n"/>
      <c r="O415" s="15">
        <f>IF(OR(B415="",L415=""),"",B415+IF(L415="P0",0,IF(L415="P1",7,IF(L415="P2",30,90))))</f>
        <v/>
      </c>
      <c r="P415" s="15" t="n"/>
      <c r="Q415" s="15">
        <f>IF(B415="","",IF(P415&lt;&gt;"",P415-B415,TODAY()-B415))</f>
        <v/>
      </c>
      <c r="R415" s="15" t="n"/>
    </row>
    <row r="416">
      <c r="A416" s="15" t="n"/>
      <c r="B416" s="15" t="n"/>
      <c r="C416" s="15" t="n"/>
      <c r="D416" s="15" t="n"/>
      <c r="E416" s="15" t="n"/>
      <c r="F416" s="15" t="n"/>
      <c r="G416" s="15" t="n"/>
      <c r="H416" s="15" t="n"/>
      <c r="I416" s="15" t="n"/>
      <c r="J416" s="15" t="inlineStr">
        <is>
          <t>Không</t>
        </is>
      </c>
      <c r="K416" s="15" t="n"/>
      <c r="L416" s="15" t="n"/>
      <c r="M416" s="15" t="inlineStr">
        <is>
          <t>Mở</t>
        </is>
      </c>
      <c r="N416" s="15" t="n"/>
      <c r="O416" s="15">
        <f>IF(OR(B416="",L416=""),"",B416+IF(L416="P0",0,IF(L416="P1",7,IF(L416="P2",30,90))))</f>
        <v/>
      </c>
      <c r="P416" s="15" t="n"/>
      <c r="Q416" s="15">
        <f>IF(B416="","",IF(P416&lt;&gt;"",P416-B416,TODAY()-B416))</f>
        <v/>
      </c>
      <c r="R416" s="15" t="n"/>
    </row>
    <row r="417">
      <c r="A417" s="15" t="n"/>
      <c r="B417" s="15" t="n"/>
      <c r="C417" s="15" t="n"/>
      <c r="D417" s="15" t="n"/>
      <c r="E417" s="15" t="n"/>
      <c r="F417" s="15" t="n"/>
      <c r="G417" s="15" t="n"/>
      <c r="H417" s="15" t="n"/>
      <c r="I417" s="15" t="n"/>
      <c r="J417" s="15" t="inlineStr">
        <is>
          <t>Không</t>
        </is>
      </c>
      <c r="K417" s="15" t="n"/>
      <c r="L417" s="15" t="n"/>
      <c r="M417" s="15" t="inlineStr">
        <is>
          <t>Mở</t>
        </is>
      </c>
      <c r="N417" s="15" t="n"/>
      <c r="O417" s="15">
        <f>IF(OR(B417="",L417=""),"",B417+IF(L417="P0",0,IF(L417="P1",7,IF(L417="P2",30,90))))</f>
        <v/>
      </c>
      <c r="P417" s="15" t="n"/>
      <c r="Q417" s="15">
        <f>IF(B417="","",IF(P417&lt;&gt;"",P417-B417,TODAY()-B417))</f>
        <v/>
      </c>
      <c r="R417" s="15" t="n"/>
    </row>
    <row r="418">
      <c r="A418" s="15" t="n"/>
      <c r="B418" s="15" t="n"/>
      <c r="C418" s="15" t="n"/>
      <c r="D418" s="15" t="n"/>
      <c r="E418" s="15" t="n"/>
      <c r="F418" s="15" t="n"/>
      <c r="G418" s="15" t="n"/>
      <c r="H418" s="15" t="n"/>
      <c r="I418" s="15" t="n"/>
      <c r="J418" s="15" t="inlineStr">
        <is>
          <t>Không</t>
        </is>
      </c>
      <c r="K418" s="15" t="n"/>
      <c r="L418" s="15" t="n"/>
      <c r="M418" s="15" t="inlineStr">
        <is>
          <t>Mở</t>
        </is>
      </c>
      <c r="N418" s="15" t="n"/>
      <c r="O418" s="15">
        <f>IF(OR(B418="",L418=""),"",B418+IF(L418="P0",0,IF(L418="P1",7,IF(L418="P2",30,90))))</f>
        <v/>
      </c>
      <c r="P418" s="15" t="n"/>
      <c r="Q418" s="15">
        <f>IF(B418="","",IF(P418&lt;&gt;"",P418-B418,TODAY()-B418))</f>
        <v/>
      </c>
      <c r="R418" s="15" t="n"/>
    </row>
    <row r="419">
      <c r="A419" s="15" t="n"/>
      <c r="B419" s="15" t="n"/>
      <c r="C419" s="15" t="n"/>
      <c r="D419" s="15" t="n"/>
      <c r="E419" s="15" t="n"/>
      <c r="F419" s="15" t="n"/>
      <c r="G419" s="15" t="n"/>
      <c r="H419" s="15" t="n"/>
      <c r="I419" s="15" t="n"/>
      <c r="J419" s="15" t="inlineStr">
        <is>
          <t>Không</t>
        </is>
      </c>
      <c r="K419" s="15" t="n"/>
      <c r="L419" s="15" t="n"/>
      <c r="M419" s="15" t="inlineStr">
        <is>
          <t>Mở</t>
        </is>
      </c>
      <c r="N419" s="15" t="n"/>
      <c r="O419" s="15">
        <f>IF(OR(B419="",L419=""),"",B419+IF(L419="P0",0,IF(L419="P1",7,IF(L419="P2",30,90))))</f>
        <v/>
      </c>
      <c r="P419" s="15" t="n"/>
      <c r="Q419" s="15">
        <f>IF(B419="","",IF(P419&lt;&gt;"",P419-B419,TODAY()-B419))</f>
        <v/>
      </c>
      <c r="R419" s="15" t="n"/>
    </row>
    <row r="420">
      <c r="A420" s="15" t="n"/>
      <c r="B420" s="15" t="n"/>
      <c r="C420" s="15" t="n"/>
      <c r="D420" s="15" t="n"/>
      <c r="E420" s="15" t="n"/>
      <c r="F420" s="15" t="n"/>
      <c r="G420" s="15" t="n"/>
      <c r="H420" s="15" t="n"/>
      <c r="I420" s="15" t="n"/>
      <c r="J420" s="15" t="inlineStr">
        <is>
          <t>Không</t>
        </is>
      </c>
      <c r="K420" s="15" t="n"/>
      <c r="L420" s="15" t="n"/>
      <c r="M420" s="15" t="inlineStr">
        <is>
          <t>Mở</t>
        </is>
      </c>
      <c r="N420" s="15" t="n"/>
      <c r="O420" s="15">
        <f>IF(OR(B420="",L420=""),"",B420+IF(L420="P0",0,IF(L420="P1",7,IF(L420="P2",30,90))))</f>
        <v/>
      </c>
      <c r="P420" s="15" t="n"/>
      <c r="Q420" s="15">
        <f>IF(B420="","",IF(P420&lt;&gt;"",P420-B420,TODAY()-B420))</f>
        <v/>
      </c>
      <c r="R420" s="15" t="n"/>
    </row>
    <row r="421">
      <c r="A421" s="15" t="n"/>
      <c r="B421" s="15" t="n"/>
      <c r="C421" s="15" t="n"/>
      <c r="D421" s="15" t="n"/>
      <c r="E421" s="15" t="n"/>
      <c r="F421" s="15" t="n"/>
      <c r="G421" s="15" t="n"/>
      <c r="H421" s="15" t="n"/>
      <c r="I421" s="15" t="n"/>
      <c r="J421" s="15" t="inlineStr">
        <is>
          <t>Không</t>
        </is>
      </c>
      <c r="K421" s="15" t="n"/>
      <c r="L421" s="15" t="n"/>
      <c r="M421" s="15" t="inlineStr">
        <is>
          <t>Mở</t>
        </is>
      </c>
      <c r="N421" s="15" t="n"/>
      <c r="O421" s="15">
        <f>IF(OR(B421="",L421=""),"",B421+IF(L421="P0",0,IF(L421="P1",7,IF(L421="P2",30,90))))</f>
        <v/>
      </c>
      <c r="P421" s="15" t="n"/>
      <c r="Q421" s="15">
        <f>IF(B421="","",IF(P421&lt;&gt;"",P421-B421,TODAY()-B421))</f>
        <v/>
      </c>
      <c r="R421" s="15" t="n"/>
    </row>
    <row r="422">
      <c r="A422" s="15" t="n"/>
      <c r="B422" s="15" t="n"/>
      <c r="C422" s="15" t="n"/>
      <c r="D422" s="15" t="n"/>
      <c r="E422" s="15" t="n"/>
      <c r="F422" s="15" t="n"/>
      <c r="G422" s="15" t="n"/>
      <c r="H422" s="15" t="n"/>
      <c r="I422" s="15" t="n"/>
      <c r="J422" s="15" t="inlineStr">
        <is>
          <t>Không</t>
        </is>
      </c>
      <c r="K422" s="15" t="n"/>
      <c r="L422" s="15" t="n"/>
      <c r="M422" s="15" t="inlineStr">
        <is>
          <t>Mở</t>
        </is>
      </c>
      <c r="N422" s="15" t="n"/>
      <c r="O422" s="15">
        <f>IF(OR(B422="",L422=""),"",B422+IF(L422="P0",0,IF(L422="P1",7,IF(L422="P2",30,90))))</f>
        <v/>
      </c>
      <c r="P422" s="15" t="n"/>
      <c r="Q422" s="15">
        <f>IF(B422="","",IF(P422&lt;&gt;"",P422-B422,TODAY()-B422))</f>
        <v/>
      </c>
      <c r="R422" s="15" t="n"/>
    </row>
    <row r="423">
      <c r="A423" s="15" t="n"/>
      <c r="B423" s="15" t="n"/>
      <c r="C423" s="15" t="n"/>
      <c r="D423" s="15" t="n"/>
      <c r="E423" s="15" t="n"/>
      <c r="F423" s="15" t="n"/>
      <c r="G423" s="15" t="n"/>
      <c r="H423" s="15" t="n"/>
      <c r="I423" s="15" t="n"/>
      <c r="J423" s="15" t="inlineStr">
        <is>
          <t>Không</t>
        </is>
      </c>
      <c r="K423" s="15" t="n"/>
      <c r="L423" s="15" t="n"/>
      <c r="M423" s="15" t="inlineStr">
        <is>
          <t>Mở</t>
        </is>
      </c>
      <c r="N423" s="15" t="n"/>
      <c r="O423" s="15">
        <f>IF(OR(B423="",L423=""),"",B423+IF(L423="P0",0,IF(L423="P1",7,IF(L423="P2",30,90))))</f>
        <v/>
      </c>
      <c r="P423" s="15" t="n"/>
      <c r="Q423" s="15">
        <f>IF(B423="","",IF(P423&lt;&gt;"",P423-B423,TODAY()-B423))</f>
        <v/>
      </c>
      <c r="R423" s="15" t="n"/>
    </row>
    <row r="424">
      <c r="A424" s="15" t="n"/>
      <c r="B424" s="15" t="n"/>
      <c r="C424" s="15" t="n"/>
      <c r="D424" s="15" t="n"/>
      <c r="E424" s="15" t="n"/>
      <c r="F424" s="15" t="n"/>
      <c r="G424" s="15" t="n"/>
      <c r="H424" s="15" t="n"/>
      <c r="I424" s="15" t="n"/>
      <c r="J424" s="15" t="inlineStr">
        <is>
          <t>Không</t>
        </is>
      </c>
      <c r="K424" s="15" t="n"/>
      <c r="L424" s="15" t="n"/>
      <c r="M424" s="15" t="inlineStr">
        <is>
          <t>Mở</t>
        </is>
      </c>
      <c r="N424" s="15" t="n"/>
      <c r="O424" s="15">
        <f>IF(OR(B424="",L424=""),"",B424+IF(L424="P0",0,IF(L424="P1",7,IF(L424="P2",30,90))))</f>
        <v/>
      </c>
      <c r="P424" s="15" t="n"/>
      <c r="Q424" s="15">
        <f>IF(B424="","",IF(P424&lt;&gt;"",P424-B424,TODAY()-B424))</f>
        <v/>
      </c>
      <c r="R424" s="15" t="n"/>
    </row>
    <row r="425">
      <c r="A425" s="15" t="n"/>
      <c r="B425" s="15" t="n"/>
      <c r="C425" s="15" t="n"/>
      <c r="D425" s="15" t="n"/>
      <c r="E425" s="15" t="n"/>
      <c r="F425" s="15" t="n"/>
      <c r="G425" s="15" t="n"/>
      <c r="H425" s="15" t="n"/>
      <c r="I425" s="15" t="n"/>
      <c r="J425" s="15" t="inlineStr">
        <is>
          <t>Không</t>
        </is>
      </c>
      <c r="K425" s="15" t="n"/>
      <c r="L425" s="15" t="n"/>
      <c r="M425" s="15" t="inlineStr">
        <is>
          <t>Mở</t>
        </is>
      </c>
      <c r="N425" s="15" t="n"/>
      <c r="O425" s="15">
        <f>IF(OR(B425="",L425=""),"",B425+IF(L425="P0",0,IF(L425="P1",7,IF(L425="P2",30,90))))</f>
        <v/>
      </c>
      <c r="P425" s="15" t="n"/>
      <c r="Q425" s="15">
        <f>IF(B425="","",IF(P425&lt;&gt;"",P425-B425,TODAY()-B425))</f>
        <v/>
      </c>
      <c r="R425" s="15" t="n"/>
    </row>
    <row r="426">
      <c r="A426" s="15" t="n"/>
      <c r="B426" s="15" t="n"/>
      <c r="C426" s="15" t="n"/>
      <c r="D426" s="15" t="n"/>
      <c r="E426" s="15" t="n"/>
      <c r="F426" s="15" t="n"/>
      <c r="G426" s="15" t="n"/>
      <c r="H426" s="15" t="n"/>
      <c r="I426" s="15" t="n"/>
      <c r="J426" s="15" t="inlineStr">
        <is>
          <t>Không</t>
        </is>
      </c>
      <c r="K426" s="15" t="n"/>
      <c r="L426" s="15" t="n"/>
      <c r="M426" s="15" t="inlineStr">
        <is>
          <t>Mở</t>
        </is>
      </c>
      <c r="N426" s="15" t="n"/>
      <c r="O426" s="15">
        <f>IF(OR(B426="",L426=""),"",B426+IF(L426="P0",0,IF(L426="P1",7,IF(L426="P2",30,90))))</f>
        <v/>
      </c>
      <c r="P426" s="15" t="n"/>
      <c r="Q426" s="15">
        <f>IF(B426="","",IF(P426&lt;&gt;"",P426-B426,TODAY()-B426))</f>
        <v/>
      </c>
      <c r="R426" s="15" t="n"/>
    </row>
    <row r="427">
      <c r="A427" s="15" t="n"/>
      <c r="B427" s="15" t="n"/>
      <c r="C427" s="15" t="n"/>
      <c r="D427" s="15" t="n"/>
      <c r="E427" s="15" t="n"/>
      <c r="F427" s="15" t="n"/>
      <c r="G427" s="15" t="n"/>
      <c r="H427" s="15" t="n"/>
      <c r="I427" s="15" t="n"/>
      <c r="J427" s="15" t="inlineStr">
        <is>
          <t>Không</t>
        </is>
      </c>
      <c r="K427" s="15" t="n"/>
      <c r="L427" s="15" t="n"/>
      <c r="M427" s="15" t="inlineStr">
        <is>
          <t>Mở</t>
        </is>
      </c>
      <c r="N427" s="15" t="n"/>
      <c r="O427" s="15">
        <f>IF(OR(B427="",L427=""),"",B427+IF(L427="P0",0,IF(L427="P1",7,IF(L427="P2",30,90))))</f>
        <v/>
      </c>
      <c r="P427" s="15" t="n"/>
      <c r="Q427" s="15">
        <f>IF(B427="","",IF(P427&lt;&gt;"",P427-B427,TODAY()-B427))</f>
        <v/>
      </c>
      <c r="R427" s="15" t="n"/>
    </row>
    <row r="428">
      <c r="A428" s="15" t="n"/>
      <c r="B428" s="15" t="n"/>
      <c r="C428" s="15" t="n"/>
      <c r="D428" s="15" t="n"/>
      <c r="E428" s="15" t="n"/>
      <c r="F428" s="15" t="n"/>
      <c r="G428" s="15" t="n"/>
      <c r="H428" s="15" t="n"/>
      <c r="I428" s="15" t="n"/>
      <c r="J428" s="15" t="inlineStr">
        <is>
          <t>Không</t>
        </is>
      </c>
      <c r="K428" s="15" t="n"/>
      <c r="L428" s="15" t="n"/>
      <c r="M428" s="15" t="inlineStr">
        <is>
          <t>Mở</t>
        </is>
      </c>
      <c r="N428" s="15" t="n"/>
      <c r="O428" s="15">
        <f>IF(OR(B428="",L428=""),"",B428+IF(L428="P0",0,IF(L428="P1",7,IF(L428="P2",30,90))))</f>
        <v/>
      </c>
      <c r="P428" s="15" t="n"/>
      <c r="Q428" s="15">
        <f>IF(B428="","",IF(P428&lt;&gt;"",P428-B428,TODAY()-B428))</f>
        <v/>
      </c>
      <c r="R428" s="15" t="n"/>
    </row>
    <row r="429">
      <c r="A429" s="15" t="n"/>
      <c r="B429" s="15" t="n"/>
      <c r="C429" s="15" t="n"/>
      <c r="D429" s="15" t="n"/>
      <c r="E429" s="15" t="n"/>
      <c r="F429" s="15" t="n"/>
      <c r="G429" s="15" t="n"/>
      <c r="H429" s="15" t="n"/>
      <c r="I429" s="15" t="n"/>
      <c r="J429" s="15" t="inlineStr">
        <is>
          <t>Không</t>
        </is>
      </c>
      <c r="K429" s="15" t="n"/>
      <c r="L429" s="15" t="n"/>
      <c r="M429" s="15" t="inlineStr">
        <is>
          <t>Mở</t>
        </is>
      </c>
      <c r="N429" s="15" t="n"/>
      <c r="O429" s="15">
        <f>IF(OR(B429="",L429=""),"",B429+IF(L429="P0",0,IF(L429="P1",7,IF(L429="P2",30,90))))</f>
        <v/>
      </c>
      <c r="P429" s="15" t="n"/>
      <c r="Q429" s="15">
        <f>IF(B429="","",IF(P429&lt;&gt;"",P429-B429,TODAY()-B429))</f>
        <v/>
      </c>
      <c r="R429" s="15" t="n"/>
    </row>
    <row r="430">
      <c r="A430" s="15" t="n"/>
      <c r="B430" s="15" t="n"/>
      <c r="C430" s="15" t="n"/>
      <c r="D430" s="15" t="n"/>
      <c r="E430" s="15" t="n"/>
      <c r="F430" s="15" t="n"/>
      <c r="G430" s="15" t="n"/>
      <c r="H430" s="15" t="n"/>
      <c r="I430" s="15" t="n"/>
      <c r="J430" s="15" t="inlineStr">
        <is>
          <t>Không</t>
        </is>
      </c>
      <c r="K430" s="15" t="n"/>
      <c r="L430" s="15" t="n"/>
      <c r="M430" s="15" t="inlineStr">
        <is>
          <t>Mở</t>
        </is>
      </c>
      <c r="N430" s="15" t="n"/>
      <c r="O430" s="15">
        <f>IF(OR(B430="",L430=""),"",B430+IF(L430="P0",0,IF(L430="P1",7,IF(L430="P2",30,90))))</f>
        <v/>
      </c>
      <c r="P430" s="15" t="n"/>
      <c r="Q430" s="15">
        <f>IF(B430="","",IF(P430&lt;&gt;"",P430-B430,TODAY()-B430))</f>
        <v/>
      </c>
      <c r="R430" s="15" t="n"/>
    </row>
    <row r="431">
      <c r="A431" s="15" t="n"/>
      <c r="B431" s="15" t="n"/>
      <c r="C431" s="15" t="n"/>
      <c r="D431" s="15" t="n"/>
      <c r="E431" s="15" t="n"/>
      <c r="F431" s="15" t="n"/>
      <c r="G431" s="15" t="n"/>
      <c r="H431" s="15" t="n"/>
      <c r="I431" s="15" t="n"/>
      <c r="J431" s="15" t="inlineStr">
        <is>
          <t>Không</t>
        </is>
      </c>
      <c r="K431" s="15" t="n"/>
      <c r="L431" s="15" t="n"/>
      <c r="M431" s="15" t="inlineStr">
        <is>
          <t>Mở</t>
        </is>
      </c>
      <c r="N431" s="15" t="n"/>
      <c r="O431" s="15">
        <f>IF(OR(B431="",L431=""),"",B431+IF(L431="P0",0,IF(L431="P1",7,IF(L431="P2",30,90))))</f>
        <v/>
      </c>
      <c r="P431" s="15" t="n"/>
      <c r="Q431" s="15">
        <f>IF(B431="","",IF(P431&lt;&gt;"",P431-B431,TODAY()-B431))</f>
        <v/>
      </c>
      <c r="R431" s="15" t="n"/>
    </row>
    <row r="432">
      <c r="A432" s="15" t="n"/>
      <c r="B432" s="15" t="n"/>
      <c r="C432" s="15" t="n"/>
      <c r="D432" s="15" t="n"/>
      <c r="E432" s="15" t="n"/>
      <c r="F432" s="15" t="n"/>
      <c r="G432" s="15" t="n"/>
      <c r="H432" s="15" t="n"/>
      <c r="I432" s="15" t="n"/>
      <c r="J432" s="15" t="inlineStr">
        <is>
          <t>Không</t>
        </is>
      </c>
      <c r="K432" s="15" t="n"/>
      <c r="L432" s="15" t="n"/>
      <c r="M432" s="15" t="inlineStr">
        <is>
          <t>Mở</t>
        </is>
      </c>
      <c r="N432" s="15" t="n"/>
      <c r="O432" s="15">
        <f>IF(OR(B432="",L432=""),"",B432+IF(L432="P0",0,IF(L432="P1",7,IF(L432="P2",30,90))))</f>
        <v/>
      </c>
      <c r="P432" s="15" t="n"/>
      <c r="Q432" s="15">
        <f>IF(B432="","",IF(P432&lt;&gt;"",P432-B432,TODAY()-B432))</f>
        <v/>
      </c>
      <c r="R432" s="15" t="n"/>
    </row>
    <row r="433">
      <c r="A433" s="15" t="n"/>
      <c r="B433" s="15" t="n"/>
      <c r="C433" s="15" t="n"/>
      <c r="D433" s="15" t="n"/>
      <c r="E433" s="15" t="n"/>
      <c r="F433" s="15" t="n"/>
      <c r="G433" s="15" t="n"/>
      <c r="H433" s="15" t="n"/>
      <c r="I433" s="15" t="n"/>
      <c r="J433" s="15" t="inlineStr">
        <is>
          <t>Không</t>
        </is>
      </c>
      <c r="K433" s="15" t="n"/>
      <c r="L433" s="15" t="n"/>
      <c r="M433" s="15" t="inlineStr">
        <is>
          <t>Mở</t>
        </is>
      </c>
      <c r="N433" s="15" t="n"/>
      <c r="O433" s="15">
        <f>IF(OR(B433="",L433=""),"",B433+IF(L433="P0",0,IF(L433="P1",7,IF(L433="P2",30,90))))</f>
        <v/>
      </c>
      <c r="P433" s="15" t="n"/>
      <c r="Q433" s="15">
        <f>IF(B433="","",IF(P433&lt;&gt;"",P433-B433,TODAY()-B433))</f>
        <v/>
      </c>
      <c r="R433" s="15" t="n"/>
    </row>
    <row r="434">
      <c r="A434" s="15" t="n"/>
      <c r="B434" s="15" t="n"/>
      <c r="C434" s="15" t="n"/>
      <c r="D434" s="15" t="n"/>
      <c r="E434" s="15" t="n"/>
      <c r="F434" s="15" t="n"/>
      <c r="G434" s="15" t="n"/>
      <c r="H434" s="15" t="n"/>
      <c r="I434" s="15" t="n"/>
      <c r="J434" s="15" t="inlineStr">
        <is>
          <t>Không</t>
        </is>
      </c>
      <c r="K434" s="15" t="n"/>
      <c r="L434" s="15" t="n"/>
      <c r="M434" s="15" t="inlineStr">
        <is>
          <t>Mở</t>
        </is>
      </c>
      <c r="N434" s="15" t="n"/>
      <c r="O434" s="15">
        <f>IF(OR(B434="",L434=""),"",B434+IF(L434="P0",0,IF(L434="P1",7,IF(L434="P2",30,90))))</f>
        <v/>
      </c>
      <c r="P434" s="15" t="n"/>
      <c r="Q434" s="15">
        <f>IF(B434="","",IF(P434&lt;&gt;"",P434-B434,TODAY()-B434))</f>
        <v/>
      </c>
      <c r="R434" s="15" t="n"/>
    </row>
    <row r="435">
      <c r="A435" s="15" t="n"/>
      <c r="B435" s="15" t="n"/>
      <c r="C435" s="15" t="n"/>
      <c r="D435" s="15" t="n"/>
      <c r="E435" s="15" t="n"/>
      <c r="F435" s="15" t="n"/>
      <c r="G435" s="15" t="n"/>
      <c r="H435" s="15" t="n"/>
      <c r="I435" s="15" t="n"/>
      <c r="J435" s="15" t="inlineStr">
        <is>
          <t>Không</t>
        </is>
      </c>
      <c r="K435" s="15" t="n"/>
      <c r="L435" s="15" t="n"/>
      <c r="M435" s="15" t="inlineStr">
        <is>
          <t>Mở</t>
        </is>
      </c>
      <c r="N435" s="15" t="n"/>
      <c r="O435" s="15">
        <f>IF(OR(B435="",L435=""),"",B435+IF(L435="P0",0,IF(L435="P1",7,IF(L435="P2",30,90))))</f>
        <v/>
      </c>
      <c r="P435" s="15" t="n"/>
      <c r="Q435" s="15">
        <f>IF(B435="","",IF(P435&lt;&gt;"",P435-B435,TODAY()-B435))</f>
        <v/>
      </c>
      <c r="R435" s="15" t="n"/>
    </row>
    <row r="436">
      <c r="A436" s="15" t="n"/>
      <c r="B436" s="15" t="n"/>
      <c r="C436" s="15" t="n"/>
      <c r="D436" s="15" t="n"/>
      <c r="E436" s="15" t="n"/>
      <c r="F436" s="15" t="n"/>
      <c r="G436" s="15" t="n"/>
      <c r="H436" s="15" t="n"/>
      <c r="I436" s="15" t="n"/>
      <c r="J436" s="15" t="inlineStr">
        <is>
          <t>Không</t>
        </is>
      </c>
      <c r="K436" s="15" t="n"/>
      <c r="L436" s="15" t="n"/>
      <c r="M436" s="15" t="inlineStr">
        <is>
          <t>Mở</t>
        </is>
      </c>
      <c r="N436" s="15" t="n"/>
      <c r="O436" s="15">
        <f>IF(OR(B436="",L436=""),"",B436+IF(L436="P0",0,IF(L436="P1",7,IF(L436="P2",30,90))))</f>
        <v/>
      </c>
      <c r="P436" s="15" t="n"/>
      <c r="Q436" s="15">
        <f>IF(B436="","",IF(P436&lt;&gt;"",P436-B436,TODAY()-B436))</f>
        <v/>
      </c>
      <c r="R436" s="15" t="n"/>
    </row>
    <row r="437">
      <c r="A437" s="15" t="n"/>
      <c r="B437" s="15" t="n"/>
      <c r="C437" s="15" t="n"/>
      <c r="D437" s="15" t="n"/>
      <c r="E437" s="15" t="n"/>
      <c r="F437" s="15" t="n"/>
      <c r="G437" s="15" t="n"/>
      <c r="H437" s="15" t="n"/>
      <c r="I437" s="15" t="n"/>
      <c r="J437" s="15" t="inlineStr">
        <is>
          <t>Không</t>
        </is>
      </c>
      <c r="K437" s="15" t="n"/>
      <c r="L437" s="15" t="n"/>
      <c r="M437" s="15" t="inlineStr">
        <is>
          <t>Mở</t>
        </is>
      </c>
      <c r="N437" s="15" t="n"/>
      <c r="O437" s="15">
        <f>IF(OR(B437="",L437=""),"",B437+IF(L437="P0",0,IF(L437="P1",7,IF(L437="P2",30,90))))</f>
        <v/>
      </c>
      <c r="P437" s="15" t="n"/>
      <c r="Q437" s="15">
        <f>IF(B437="","",IF(P437&lt;&gt;"",P437-B437,TODAY()-B437))</f>
        <v/>
      </c>
      <c r="R437" s="15" t="n"/>
    </row>
    <row r="438">
      <c r="A438" s="15" t="n"/>
      <c r="B438" s="15" t="n"/>
      <c r="C438" s="15" t="n"/>
      <c r="D438" s="15" t="n"/>
      <c r="E438" s="15" t="n"/>
      <c r="F438" s="15" t="n"/>
      <c r="G438" s="15" t="n"/>
      <c r="H438" s="15" t="n"/>
      <c r="I438" s="15" t="n"/>
      <c r="J438" s="15" t="inlineStr">
        <is>
          <t>Không</t>
        </is>
      </c>
      <c r="K438" s="15" t="n"/>
      <c r="L438" s="15" t="n"/>
      <c r="M438" s="15" t="inlineStr">
        <is>
          <t>Mở</t>
        </is>
      </c>
      <c r="N438" s="15" t="n"/>
      <c r="O438" s="15">
        <f>IF(OR(B438="",L438=""),"",B438+IF(L438="P0",0,IF(L438="P1",7,IF(L438="P2",30,90))))</f>
        <v/>
      </c>
      <c r="P438" s="15" t="n"/>
      <c r="Q438" s="15">
        <f>IF(B438="","",IF(P438&lt;&gt;"",P438-B438,TODAY()-B438))</f>
        <v/>
      </c>
      <c r="R438" s="15" t="n"/>
    </row>
    <row r="439">
      <c r="A439" s="15" t="n"/>
      <c r="B439" s="15" t="n"/>
      <c r="C439" s="15" t="n"/>
      <c r="D439" s="15" t="n"/>
      <c r="E439" s="15" t="n"/>
      <c r="F439" s="15" t="n"/>
      <c r="G439" s="15" t="n"/>
      <c r="H439" s="15" t="n"/>
      <c r="I439" s="15" t="n"/>
      <c r="J439" s="15" t="inlineStr">
        <is>
          <t>Không</t>
        </is>
      </c>
      <c r="K439" s="15" t="n"/>
      <c r="L439" s="15" t="n"/>
      <c r="M439" s="15" t="inlineStr">
        <is>
          <t>Mở</t>
        </is>
      </c>
      <c r="N439" s="15" t="n"/>
      <c r="O439" s="15">
        <f>IF(OR(B439="",L439=""),"",B439+IF(L439="P0",0,IF(L439="P1",7,IF(L439="P2",30,90))))</f>
        <v/>
      </c>
      <c r="P439" s="15" t="n"/>
      <c r="Q439" s="15">
        <f>IF(B439="","",IF(P439&lt;&gt;"",P439-B439,TODAY()-B439))</f>
        <v/>
      </c>
      <c r="R439" s="15" t="n"/>
    </row>
    <row r="440">
      <c r="A440" s="15" t="n"/>
      <c r="B440" s="15" t="n"/>
      <c r="C440" s="15" t="n"/>
      <c r="D440" s="15" t="n"/>
      <c r="E440" s="15" t="n"/>
      <c r="F440" s="15" t="n"/>
      <c r="G440" s="15" t="n"/>
      <c r="H440" s="15" t="n"/>
      <c r="I440" s="15" t="n"/>
      <c r="J440" s="15" t="inlineStr">
        <is>
          <t>Không</t>
        </is>
      </c>
      <c r="K440" s="15" t="n"/>
      <c r="L440" s="15" t="n"/>
      <c r="M440" s="15" t="inlineStr">
        <is>
          <t>Mở</t>
        </is>
      </c>
      <c r="N440" s="15" t="n"/>
      <c r="O440" s="15">
        <f>IF(OR(B440="",L440=""),"",B440+IF(L440="P0",0,IF(L440="P1",7,IF(L440="P2",30,90))))</f>
        <v/>
      </c>
      <c r="P440" s="15" t="n"/>
      <c r="Q440" s="15">
        <f>IF(B440="","",IF(P440&lt;&gt;"",P440-B440,TODAY()-B440))</f>
        <v/>
      </c>
      <c r="R440" s="15" t="n"/>
    </row>
    <row r="441">
      <c r="A441" s="15" t="n"/>
      <c r="B441" s="15" t="n"/>
      <c r="C441" s="15" t="n"/>
      <c r="D441" s="15" t="n"/>
      <c r="E441" s="15" t="n"/>
      <c r="F441" s="15" t="n"/>
      <c r="G441" s="15" t="n"/>
      <c r="H441" s="15" t="n"/>
      <c r="I441" s="15" t="n"/>
      <c r="J441" s="15" t="inlineStr">
        <is>
          <t>Không</t>
        </is>
      </c>
      <c r="K441" s="15" t="n"/>
      <c r="L441" s="15" t="n"/>
      <c r="M441" s="15" t="inlineStr">
        <is>
          <t>Mở</t>
        </is>
      </c>
      <c r="N441" s="15" t="n"/>
      <c r="O441" s="15">
        <f>IF(OR(B441="",L441=""),"",B441+IF(L441="P0",0,IF(L441="P1",7,IF(L441="P2",30,90))))</f>
        <v/>
      </c>
      <c r="P441" s="15" t="n"/>
      <c r="Q441" s="15">
        <f>IF(B441="","",IF(P441&lt;&gt;"",P441-B441,TODAY()-B441))</f>
        <v/>
      </c>
      <c r="R441" s="15" t="n"/>
    </row>
    <row r="442">
      <c r="A442" s="15" t="n"/>
      <c r="B442" s="15" t="n"/>
      <c r="C442" s="15" t="n"/>
      <c r="D442" s="15" t="n"/>
      <c r="E442" s="15" t="n"/>
      <c r="F442" s="15" t="n"/>
      <c r="G442" s="15" t="n"/>
      <c r="H442" s="15" t="n"/>
      <c r="I442" s="15" t="n"/>
      <c r="J442" s="15" t="inlineStr">
        <is>
          <t>Không</t>
        </is>
      </c>
      <c r="K442" s="15" t="n"/>
      <c r="L442" s="15" t="n"/>
      <c r="M442" s="15" t="inlineStr">
        <is>
          <t>Mở</t>
        </is>
      </c>
      <c r="N442" s="15" t="n"/>
      <c r="O442" s="15">
        <f>IF(OR(B442="",L442=""),"",B442+IF(L442="P0",0,IF(L442="P1",7,IF(L442="P2",30,90))))</f>
        <v/>
      </c>
      <c r="P442" s="15" t="n"/>
      <c r="Q442" s="15">
        <f>IF(B442="","",IF(P442&lt;&gt;"",P442-B442,TODAY()-B442))</f>
        <v/>
      </c>
      <c r="R442" s="15" t="n"/>
    </row>
    <row r="443">
      <c r="A443" s="15" t="n"/>
      <c r="B443" s="15" t="n"/>
      <c r="C443" s="15" t="n"/>
      <c r="D443" s="15" t="n"/>
      <c r="E443" s="15" t="n"/>
      <c r="F443" s="15" t="n"/>
      <c r="G443" s="15" t="n"/>
      <c r="H443" s="15" t="n"/>
      <c r="I443" s="15" t="n"/>
      <c r="J443" s="15" t="inlineStr">
        <is>
          <t>Không</t>
        </is>
      </c>
      <c r="K443" s="15" t="n"/>
      <c r="L443" s="15" t="n"/>
      <c r="M443" s="15" t="inlineStr">
        <is>
          <t>Mở</t>
        </is>
      </c>
      <c r="N443" s="15" t="n"/>
      <c r="O443" s="15">
        <f>IF(OR(B443="",L443=""),"",B443+IF(L443="P0",0,IF(L443="P1",7,IF(L443="P2",30,90))))</f>
        <v/>
      </c>
      <c r="P443" s="15" t="n"/>
      <c r="Q443" s="15">
        <f>IF(B443="","",IF(P443&lt;&gt;"",P443-B443,TODAY()-B443))</f>
        <v/>
      </c>
      <c r="R443" s="15" t="n"/>
    </row>
    <row r="444">
      <c r="A444" s="15" t="n"/>
      <c r="B444" s="15" t="n"/>
      <c r="C444" s="15" t="n"/>
      <c r="D444" s="15" t="n"/>
      <c r="E444" s="15" t="n"/>
      <c r="F444" s="15" t="n"/>
      <c r="G444" s="15" t="n"/>
      <c r="H444" s="15" t="n"/>
      <c r="I444" s="15" t="n"/>
      <c r="J444" s="15" t="inlineStr">
        <is>
          <t>Không</t>
        </is>
      </c>
      <c r="K444" s="15" t="n"/>
      <c r="L444" s="15" t="n"/>
      <c r="M444" s="15" t="inlineStr">
        <is>
          <t>Mở</t>
        </is>
      </c>
      <c r="N444" s="15" t="n"/>
      <c r="O444" s="15">
        <f>IF(OR(B444="",L444=""),"",B444+IF(L444="P0",0,IF(L444="P1",7,IF(L444="P2",30,90))))</f>
        <v/>
      </c>
      <c r="P444" s="15" t="n"/>
      <c r="Q444" s="15">
        <f>IF(B444="","",IF(P444&lt;&gt;"",P444-B444,TODAY()-B444))</f>
        <v/>
      </c>
      <c r="R444" s="15" t="n"/>
    </row>
    <row r="445">
      <c r="A445" s="15" t="n"/>
      <c r="B445" s="15" t="n"/>
      <c r="C445" s="15" t="n"/>
      <c r="D445" s="15" t="n"/>
      <c r="E445" s="15" t="n"/>
      <c r="F445" s="15" t="n"/>
      <c r="G445" s="15" t="n"/>
      <c r="H445" s="15" t="n"/>
      <c r="I445" s="15" t="n"/>
      <c r="J445" s="15" t="inlineStr">
        <is>
          <t>Không</t>
        </is>
      </c>
      <c r="K445" s="15" t="n"/>
      <c r="L445" s="15" t="n"/>
      <c r="M445" s="15" t="inlineStr">
        <is>
          <t>Mở</t>
        </is>
      </c>
      <c r="N445" s="15" t="n"/>
      <c r="O445" s="15">
        <f>IF(OR(B445="",L445=""),"",B445+IF(L445="P0",0,IF(L445="P1",7,IF(L445="P2",30,90))))</f>
        <v/>
      </c>
      <c r="P445" s="15" t="n"/>
      <c r="Q445" s="15">
        <f>IF(B445="","",IF(P445&lt;&gt;"",P445-B445,TODAY()-B445))</f>
        <v/>
      </c>
      <c r="R445" s="15" t="n"/>
    </row>
    <row r="446">
      <c r="A446" s="15" t="n"/>
      <c r="B446" s="15" t="n"/>
      <c r="C446" s="15" t="n"/>
      <c r="D446" s="15" t="n"/>
      <c r="E446" s="15" t="n"/>
      <c r="F446" s="15" t="n"/>
      <c r="G446" s="15" t="n"/>
      <c r="H446" s="15" t="n"/>
      <c r="I446" s="15" t="n"/>
      <c r="J446" s="15" t="inlineStr">
        <is>
          <t>Không</t>
        </is>
      </c>
      <c r="K446" s="15" t="n"/>
      <c r="L446" s="15" t="n"/>
      <c r="M446" s="15" t="inlineStr">
        <is>
          <t>Mở</t>
        </is>
      </c>
      <c r="N446" s="15" t="n"/>
      <c r="O446" s="15">
        <f>IF(OR(B446="",L446=""),"",B446+IF(L446="P0",0,IF(L446="P1",7,IF(L446="P2",30,90))))</f>
        <v/>
      </c>
      <c r="P446" s="15" t="n"/>
      <c r="Q446" s="15">
        <f>IF(B446="","",IF(P446&lt;&gt;"",P446-B446,TODAY()-B446))</f>
        <v/>
      </c>
      <c r="R446" s="15" t="n"/>
    </row>
    <row r="447">
      <c r="A447" s="15" t="n"/>
      <c r="B447" s="15" t="n"/>
      <c r="C447" s="15" t="n"/>
      <c r="D447" s="15" t="n"/>
      <c r="E447" s="15" t="n"/>
      <c r="F447" s="15" t="n"/>
      <c r="G447" s="15" t="n"/>
      <c r="H447" s="15" t="n"/>
      <c r="I447" s="15" t="n"/>
      <c r="J447" s="15" t="inlineStr">
        <is>
          <t>Không</t>
        </is>
      </c>
      <c r="K447" s="15" t="n"/>
      <c r="L447" s="15" t="n"/>
      <c r="M447" s="15" t="inlineStr">
        <is>
          <t>Mở</t>
        </is>
      </c>
      <c r="N447" s="15" t="n"/>
      <c r="O447" s="15">
        <f>IF(OR(B447="",L447=""),"",B447+IF(L447="P0",0,IF(L447="P1",7,IF(L447="P2",30,90))))</f>
        <v/>
      </c>
      <c r="P447" s="15" t="n"/>
      <c r="Q447" s="15">
        <f>IF(B447="","",IF(P447&lt;&gt;"",P447-B447,TODAY()-B447))</f>
        <v/>
      </c>
      <c r="R447" s="15" t="n"/>
    </row>
    <row r="448">
      <c r="A448" s="15" t="n"/>
      <c r="B448" s="15" t="n"/>
      <c r="C448" s="15" t="n"/>
      <c r="D448" s="15" t="n"/>
      <c r="E448" s="15" t="n"/>
      <c r="F448" s="15" t="n"/>
      <c r="G448" s="15" t="n"/>
      <c r="H448" s="15" t="n"/>
      <c r="I448" s="15" t="n"/>
      <c r="J448" s="15" t="inlineStr">
        <is>
          <t>Không</t>
        </is>
      </c>
      <c r="K448" s="15" t="n"/>
      <c r="L448" s="15" t="n"/>
      <c r="M448" s="15" t="inlineStr">
        <is>
          <t>Mở</t>
        </is>
      </c>
      <c r="N448" s="15" t="n"/>
      <c r="O448" s="15">
        <f>IF(OR(B448="",L448=""),"",B448+IF(L448="P0",0,IF(L448="P1",7,IF(L448="P2",30,90))))</f>
        <v/>
      </c>
      <c r="P448" s="15" t="n"/>
      <c r="Q448" s="15">
        <f>IF(B448="","",IF(P448&lt;&gt;"",P448-B448,TODAY()-B448))</f>
        <v/>
      </c>
      <c r="R448" s="15" t="n"/>
    </row>
    <row r="449">
      <c r="A449" s="15" t="n"/>
      <c r="B449" s="15" t="n"/>
      <c r="C449" s="15" t="n"/>
      <c r="D449" s="15" t="n"/>
      <c r="E449" s="15" t="n"/>
      <c r="F449" s="15" t="n"/>
      <c r="G449" s="15" t="n"/>
      <c r="H449" s="15" t="n"/>
      <c r="I449" s="15" t="n"/>
      <c r="J449" s="15" t="inlineStr">
        <is>
          <t>Không</t>
        </is>
      </c>
      <c r="K449" s="15" t="n"/>
      <c r="L449" s="15" t="n"/>
      <c r="M449" s="15" t="inlineStr">
        <is>
          <t>Mở</t>
        </is>
      </c>
      <c r="N449" s="15" t="n"/>
      <c r="O449" s="15">
        <f>IF(OR(B449="",L449=""),"",B449+IF(L449="P0",0,IF(L449="P1",7,IF(L449="P2",30,90))))</f>
        <v/>
      </c>
      <c r="P449" s="15" t="n"/>
      <c r="Q449" s="15">
        <f>IF(B449="","",IF(P449&lt;&gt;"",P449-B449,TODAY()-B449))</f>
        <v/>
      </c>
      <c r="R449" s="15" t="n"/>
    </row>
    <row r="450">
      <c r="A450" s="15" t="n"/>
      <c r="B450" s="15" t="n"/>
      <c r="C450" s="15" t="n"/>
      <c r="D450" s="15" t="n"/>
      <c r="E450" s="15" t="n"/>
      <c r="F450" s="15" t="n"/>
      <c r="G450" s="15" t="n"/>
      <c r="H450" s="15" t="n"/>
      <c r="I450" s="15" t="n"/>
      <c r="J450" s="15" t="inlineStr">
        <is>
          <t>Không</t>
        </is>
      </c>
      <c r="K450" s="15" t="n"/>
      <c r="L450" s="15" t="n"/>
      <c r="M450" s="15" t="inlineStr">
        <is>
          <t>Mở</t>
        </is>
      </c>
      <c r="N450" s="15" t="n"/>
      <c r="O450" s="15">
        <f>IF(OR(B450="",L450=""),"",B450+IF(L450="P0",0,IF(L450="P1",7,IF(L450="P2",30,90))))</f>
        <v/>
      </c>
      <c r="P450" s="15" t="n"/>
      <c r="Q450" s="15">
        <f>IF(B450="","",IF(P450&lt;&gt;"",P450-B450,TODAY()-B450))</f>
        <v/>
      </c>
      <c r="R450" s="15" t="n"/>
    </row>
    <row r="451">
      <c r="A451" s="15" t="n"/>
      <c r="B451" s="15" t="n"/>
      <c r="C451" s="15" t="n"/>
      <c r="D451" s="15" t="n"/>
      <c r="E451" s="15" t="n"/>
      <c r="F451" s="15" t="n"/>
      <c r="G451" s="15" t="n"/>
      <c r="H451" s="15" t="n"/>
      <c r="I451" s="15" t="n"/>
      <c r="J451" s="15" t="inlineStr">
        <is>
          <t>Không</t>
        </is>
      </c>
      <c r="K451" s="15" t="n"/>
      <c r="L451" s="15" t="n"/>
      <c r="M451" s="15" t="inlineStr">
        <is>
          <t>Mở</t>
        </is>
      </c>
      <c r="N451" s="15" t="n"/>
      <c r="O451" s="15">
        <f>IF(OR(B451="",L451=""),"",B451+IF(L451="P0",0,IF(L451="P1",7,IF(L451="P2",30,90))))</f>
        <v/>
      </c>
      <c r="P451" s="15" t="n"/>
      <c r="Q451" s="15">
        <f>IF(B451="","",IF(P451&lt;&gt;"",P451-B451,TODAY()-B451))</f>
        <v/>
      </c>
      <c r="R451" s="15" t="n"/>
    </row>
    <row r="452">
      <c r="A452" s="15" t="n"/>
      <c r="B452" s="15" t="n"/>
      <c r="C452" s="15" t="n"/>
      <c r="D452" s="15" t="n"/>
      <c r="E452" s="15" t="n"/>
      <c r="F452" s="15" t="n"/>
      <c r="G452" s="15" t="n"/>
      <c r="H452" s="15" t="n"/>
      <c r="I452" s="15" t="n"/>
      <c r="J452" s="15" t="inlineStr">
        <is>
          <t>Không</t>
        </is>
      </c>
      <c r="K452" s="15" t="n"/>
      <c r="L452" s="15" t="n"/>
      <c r="M452" s="15" t="inlineStr">
        <is>
          <t>Mở</t>
        </is>
      </c>
      <c r="N452" s="15" t="n"/>
      <c r="O452" s="15">
        <f>IF(OR(B452="",L452=""),"",B452+IF(L452="P0",0,IF(L452="P1",7,IF(L452="P2",30,90))))</f>
        <v/>
      </c>
      <c r="P452" s="15" t="n"/>
      <c r="Q452" s="15">
        <f>IF(B452="","",IF(P452&lt;&gt;"",P452-B452,TODAY()-B452))</f>
        <v/>
      </c>
      <c r="R452" s="15" t="n"/>
    </row>
    <row r="453">
      <c r="A453" s="15" t="n"/>
      <c r="B453" s="15" t="n"/>
      <c r="C453" s="15" t="n"/>
      <c r="D453" s="15" t="n"/>
      <c r="E453" s="15" t="n"/>
      <c r="F453" s="15" t="n"/>
      <c r="G453" s="15" t="n"/>
      <c r="H453" s="15" t="n"/>
      <c r="I453" s="15" t="n"/>
      <c r="J453" s="15" t="inlineStr">
        <is>
          <t>Không</t>
        </is>
      </c>
      <c r="K453" s="15" t="n"/>
      <c r="L453" s="15" t="n"/>
      <c r="M453" s="15" t="inlineStr">
        <is>
          <t>Mở</t>
        </is>
      </c>
      <c r="N453" s="15" t="n"/>
      <c r="O453" s="15">
        <f>IF(OR(B453="",L453=""),"",B453+IF(L453="P0",0,IF(L453="P1",7,IF(L453="P2",30,90))))</f>
        <v/>
      </c>
      <c r="P453" s="15" t="n"/>
      <c r="Q453" s="15">
        <f>IF(B453="","",IF(P453&lt;&gt;"",P453-B453,TODAY()-B453))</f>
        <v/>
      </c>
      <c r="R453" s="15" t="n"/>
    </row>
    <row r="454">
      <c r="A454" s="15" t="n"/>
      <c r="B454" s="15" t="n"/>
      <c r="C454" s="15" t="n"/>
      <c r="D454" s="15" t="n"/>
      <c r="E454" s="15" t="n"/>
      <c r="F454" s="15" t="n"/>
      <c r="G454" s="15" t="n"/>
      <c r="H454" s="15" t="n"/>
      <c r="I454" s="15" t="n"/>
      <c r="J454" s="15" t="inlineStr">
        <is>
          <t>Không</t>
        </is>
      </c>
      <c r="K454" s="15" t="n"/>
      <c r="L454" s="15" t="n"/>
      <c r="M454" s="15" t="inlineStr">
        <is>
          <t>Mở</t>
        </is>
      </c>
      <c r="N454" s="15" t="n"/>
      <c r="O454" s="15">
        <f>IF(OR(B454="",L454=""),"",B454+IF(L454="P0",0,IF(L454="P1",7,IF(L454="P2",30,90))))</f>
        <v/>
      </c>
      <c r="P454" s="15" t="n"/>
      <c r="Q454" s="15">
        <f>IF(B454="","",IF(P454&lt;&gt;"",P454-B454,TODAY()-B454))</f>
        <v/>
      </c>
      <c r="R454" s="15" t="n"/>
    </row>
    <row r="455">
      <c r="A455" s="15" t="n"/>
      <c r="B455" s="15" t="n"/>
      <c r="C455" s="15" t="n"/>
      <c r="D455" s="15" t="n"/>
      <c r="E455" s="15" t="n"/>
      <c r="F455" s="15" t="n"/>
      <c r="G455" s="15" t="n"/>
      <c r="H455" s="15" t="n"/>
      <c r="I455" s="15" t="n"/>
      <c r="J455" s="15" t="inlineStr">
        <is>
          <t>Không</t>
        </is>
      </c>
      <c r="K455" s="15" t="n"/>
      <c r="L455" s="15" t="n"/>
      <c r="M455" s="15" t="inlineStr">
        <is>
          <t>Mở</t>
        </is>
      </c>
      <c r="N455" s="15" t="n"/>
      <c r="O455" s="15">
        <f>IF(OR(B455="",L455=""),"",B455+IF(L455="P0",0,IF(L455="P1",7,IF(L455="P2",30,90))))</f>
        <v/>
      </c>
      <c r="P455" s="15" t="n"/>
      <c r="Q455" s="15">
        <f>IF(B455="","",IF(P455&lt;&gt;"",P455-B455,TODAY()-B455))</f>
        <v/>
      </c>
      <c r="R455" s="15" t="n"/>
    </row>
    <row r="456">
      <c r="A456" s="15" t="n"/>
      <c r="B456" s="15" t="n"/>
      <c r="C456" s="15" t="n"/>
      <c r="D456" s="15" t="n"/>
      <c r="E456" s="15" t="n"/>
      <c r="F456" s="15" t="n"/>
      <c r="G456" s="15" t="n"/>
      <c r="H456" s="15" t="n"/>
      <c r="I456" s="15" t="n"/>
      <c r="J456" s="15" t="inlineStr">
        <is>
          <t>Không</t>
        </is>
      </c>
      <c r="K456" s="15" t="n"/>
      <c r="L456" s="15" t="n"/>
      <c r="M456" s="15" t="inlineStr">
        <is>
          <t>Mở</t>
        </is>
      </c>
      <c r="N456" s="15" t="n"/>
      <c r="O456" s="15">
        <f>IF(OR(B456="",L456=""),"",B456+IF(L456="P0",0,IF(L456="P1",7,IF(L456="P2",30,90))))</f>
        <v/>
      </c>
      <c r="P456" s="15" t="n"/>
      <c r="Q456" s="15">
        <f>IF(B456="","",IF(P456&lt;&gt;"",P456-B456,TODAY()-B456))</f>
        <v/>
      </c>
      <c r="R456" s="15" t="n"/>
    </row>
    <row r="457">
      <c r="A457" s="15" t="n"/>
      <c r="B457" s="15" t="n"/>
      <c r="C457" s="15" t="n"/>
      <c r="D457" s="15" t="n"/>
      <c r="E457" s="15" t="n"/>
      <c r="F457" s="15" t="n"/>
      <c r="G457" s="15" t="n"/>
      <c r="H457" s="15" t="n"/>
      <c r="I457" s="15" t="n"/>
      <c r="J457" s="15" t="inlineStr">
        <is>
          <t>Không</t>
        </is>
      </c>
      <c r="K457" s="15" t="n"/>
      <c r="L457" s="15" t="n"/>
      <c r="M457" s="15" t="inlineStr">
        <is>
          <t>Mở</t>
        </is>
      </c>
      <c r="N457" s="15" t="n"/>
      <c r="O457" s="15">
        <f>IF(OR(B457="",L457=""),"",B457+IF(L457="P0",0,IF(L457="P1",7,IF(L457="P2",30,90))))</f>
        <v/>
      </c>
      <c r="P457" s="15" t="n"/>
      <c r="Q457" s="15">
        <f>IF(B457="","",IF(P457&lt;&gt;"",P457-B457,TODAY()-B457))</f>
        <v/>
      </c>
      <c r="R457" s="15" t="n"/>
    </row>
    <row r="458">
      <c r="A458" s="15" t="n"/>
      <c r="B458" s="15" t="n"/>
      <c r="C458" s="15" t="n"/>
      <c r="D458" s="15" t="n"/>
      <c r="E458" s="15" t="n"/>
      <c r="F458" s="15" t="n"/>
      <c r="G458" s="15" t="n"/>
      <c r="H458" s="15" t="n"/>
      <c r="I458" s="15" t="n"/>
      <c r="J458" s="15" t="inlineStr">
        <is>
          <t>Không</t>
        </is>
      </c>
      <c r="K458" s="15" t="n"/>
      <c r="L458" s="15" t="n"/>
      <c r="M458" s="15" t="inlineStr">
        <is>
          <t>Mở</t>
        </is>
      </c>
      <c r="N458" s="15" t="n"/>
      <c r="O458" s="15">
        <f>IF(OR(B458="",L458=""),"",B458+IF(L458="P0",0,IF(L458="P1",7,IF(L458="P2",30,90))))</f>
        <v/>
      </c>
      <c r="P458" s="15" t="n"/>
      <c r="Q458" s="15">
        <f>IF(B458="","",IF(P458&lt;&gt;"",P458-B458,TODAY()-B458))</f>
        <v/>
      </c>
      <c r="R458" s="15" t="n"/>
    </row>
    <row r="459">
      <c r="A459" s="15" t="n"/>
      <c r="B459" s="15" t="n"/>
      <c r="C459" s="15" t="n"/>
      <c r="D459" s="15" t="n"/>
      <c r="E459" s="15" t="n"/>
      <c r="F459" s="15" t="n"/>
      <c r="G459" s="15" t="n"/>
      <c r="H459" s="15" t="n"/>
      <c r="I459" s="15" t="n"/>
      <c r="J459" s="15" t="inlineStr">
        <is>
          <t>Không</t>
        </is>
      </c>
      <c r="K459" s="15" t="n"/>
      <c r="L459" s="15" t="n"/>
      <c r="M459" s="15" t="inlineStr">
        <is>
          <t>Mở</t>
        </is>
      </c>
      <c r="N459" s="15" t="n"/>
      <c r="O459" s="15">
        <f>IF(OR(B459="",L459=""),"",B459+IF(L459="P0",0,IF(L459="P1",7,IF(L459="P2",30,90))))</f>
        <v/>
      </c>
      <c r="P459" s="15" t="n"/>
      <c r="Q459" s="15">
        <f>IF(B459="","",IF(P459&lt;&gt;"",P459-B459,TODAY()-B459))</f>
        <v/>
      </c>
      <c r="R459" s="15" t="n"/>
    </row>
    <row r="460">
      <c r="A460" s="15" t="n"/>
      <c r="B460" s="15" t="n"/>
      <c r="C460" s="15" t="n"/>
      <c r="D460" s="15" t="n"/>
      <c r="E460" s="15" t="n"/>
      <c r="F460" s="15" t="n"/>
      <c r="G460" s="15" t="n"/>
      <c r="H460" s="15" t="n"/>
      <c r="I460" s="15" t="n"/>
      <c r="J460" s="15" t="inlineStr">
        <is>
          <t>Không</t>
        </is>
      </c>
      <c r="K460" s="15" t="n"/>
      <c r="L460" s="15" t="n"/>
      <c r="M460" s="15" t="inlineStr">
        <is>
          <t>Mở</t>
        </is>
      </c>
      <c r="N460" s="15" t="n"/>
      <c r="O460" s="15">
        <f>IF(OR(B460="",L460=""),"",B460+IF(L460="P0",0,IF(L460="P1",7,IF(L460="P2",30,90))))</f>
        <v/>
      </c>
      <c r="P460" s="15" t="n"/>
      <c r="Q460" s="15">
        <f>IF(B460="","",IF(P460&lt;&gt;"",P460-B460,TODAY()-B460))</f>
        <v/>
      </c>
      <c r="R460" s="15" t="n"/>
    </row>
    <row r="461">
      <c r="A461" s="15" t="n"/>
      <c r="B461" s="15" t="n"/>
      <c r="C461" s="15" t="n"/>
      <c r="D461" s="15" t="n"/>
      <c r="E461" s="15" t="n"/>
      <c r="F461" s="15" t="n"/>
      <c r="G461" s="15" t="n"/>
      <c r="H461" s="15" t="n"/>
      <c r="I461" s="15" t="n"/>
      <c r="J461" s="15" t="inlineStr">
        <is>
          <t>Không</t>
        </is>
      </c>
      <c r="K461" s="15" t="n"/>
      <c r="L461" s="15" t="n"/>
      <c r="M461" s="15" t="inlineStr">
        <is>
          <t>Mở</t>
        </is>
      </c>
      <c r="N461" s="15" t="n"/>
      <c r="O461" s="15">
        <f>IF(OR(B461="",L461=""),"",B461+IF(L461="P0",0,IF(L461="P1",7,IF(L461="P2",30,90))))</f>
        <v/>
      </c>
      <c r="P461" s="15" t="n"/>
      <c r="Q461" s="15">
        <f>IF(B461="","",IF(P461&lt;&gt;"",P461-B461,TODAY()-B461))</f>
        <v/>
      </c>
      <c r="R461" s="15" t="n"/>
    </row>
    <row r="462">
      <c r="A462" s="15" t="n"/>
      <c r="B462" s="15" t="n"/>
      <c r="C462" s="15" t="n"/>
      <c r="D462" s="15" t="n"/>
      <c r="E462" s="15" t="n"/>
      <c r="F462" s="15" t="n"/>
      <c r="G462" s="15" t="n"/>
      <c r="H462" s="15" t="n"/>
      <c r="I462" s="15" t="n"/>
      <c r="J462" s="15" t="inlineStr">
        <is>
          <t>Không</t>
        </is>
      </c>
      <c r="K462" s="15" t="n"/>
      <c r="L462" s="15" t="n"/>
      <c r="M462" s="15" t="inlineStr">
        <is>
          <t>Mở</t>
        </is>
      </c>
      <c r="N462" s="15" t="n"/>
      <c r="O462" s="15">
        <f>IF(OR(B462="",L462=""),"",B462+IF(L462="P0",0,IF(L462="P1",7,IF(L462="P2",30,90))))</f>
        <v/>
      </c>
      <c r="P462" s="15" t="n"/>
      <c r="Q462" s="15">
        <f>IF(B462="","",IF(P462&lt;&gt;"",P462-B462,TODAY()-B462))</f>
        <v/>
      </c>
      <c r="R462" s="15" t="n"/>
    </row>
    <row r="463">
      <c r="A463" s="15" t="n"/>
      <c r="B463" s="15" t="n"/>
      <c r="C463" s="15" t="n"/>
      <c r="D463" s="15" t="n"/>
      <c r="E463" s="15" t="n"/>
      <c r="F463" s="15" t="n"/>
      <c r="G463" s="15" t="n"/>
      <c r="H463" s="15" t="n"/>
      <c r="I463" s="15" t="n"/>
      <c r="J463" s="15" t="inlineStr">
        <is>
          <t>Không</t>
        </is>
      </c>
      <c r="K463" s="15" t="n"/>
      <c r="L463" s="15" t="n"/>
      <c r="M463" s="15" t="inlineStr">
        <is>
          <t>Mở</t>
        </is>
      </c>
      <c r="N463" s="15" t="n"/>
      <c r="O463" s="15">
        <f>IF(OR(B463="",L463=""),"",B463+IF(L463="P0",0,IF(L463="P1",7,IF(L463="P2",30,90))))</f>
        <v/>
      </c>
      <c r="P463" s="15" t="n"/>
      <c r="Q463" s="15">
        <f>IF(B463="","",IF(P463&lt;&gt;"",P463-B463,TODAY()-B463))</f>
        <v/>
      </c>
      <c r="R463" s="15" t="n"/>
    </row>
    <row r="464">
      <c r="A464" s="15" t="n"/>
      <c r="B464" s="15" t="n"/>
      <c r="C464" s="15" t="n"/>
      <c r="D464" s="15" t="n"/>
      <c r="E464" s="15" t="n"/>
      <c r="F464" s="15" t="n"/>
      <c r="G464" s="15" t="n"/>
      <c r="H464" s="15" t="n"/>
      <c r="I464" s="15" t="n"/>
      <c r="J464" s="15" t="inlineStr">
        <is>
          <t>Không</t>
        </is>
      </c>
      <c r="K464" s="15" t="n"/>
      <c r="L464" s="15" t="n"/>
      <c r="M464" s="15" t="inlineStr">
        <is>
          <t>Mở</t>
        </is>
      </c>
      <c r="N464" s="15" t="n"/>
      <c r="O464" s="15">
        <f>IF(OR(B464="",L464=""),"",B464+IF(L464="P0",0,IF(L464="P1",7,IF(L464="P2",30,90))))</f>
        <v/>
      </c>
      <c r="P464" s="15" t="n"/>
      <c r="Q464" s="15">
        <f>IF(B464="","",IF(P464&lt;&gt;"",P464-B464,TODAY()-B464))</f>
        <v/>
      </c>
      <c r="R464" s="15" t="n"/>
    </row>
    <row r="465">
      <c r="A465" s="15" t="n"/>
      <c r="B465" s="15" t="n"/>
      <c r="C465" s="15" t="n"/>
      <c r="D465" s="15" t="n"/>
      <c r="E465" s="15" t="n"/>
      <c r="F465" s="15" t="n"/>
      <c r="G465" s="15" t="n"/>
      <c r="H465" s="15" t="n"/>
      <c r="I465" s="15" t="n"/>
      <c r="J465" s="15" t="inlineStr">
        <is>
          <t>Không</t>
        </is>
      </c>
      <c r="K465" s="15" t="n"/>
      <c r="L465" s="15" t="n"/>
      <c r="M465" s="15" t="inlineStr">
        <is>
          <t>Mở</t>
        </is>
      </c>
      <c r="N465" s="15" t="n"/>
      <c r="O465" s="15">
        <f>IF(OR(B465="",L465=""),"",B465+IF(L465="P0",0,IF(L465="P1",7,IF(L465="P2",30,90))))</f>
        <v/>
      </c>
      <c r="P465" s="15" t="n"/>
      <c r="Q465" s="15">
        <f>IF(B465="","",IF(P465&lt;&gt;"",P465-B465,TODAY()-B465))</f>
        <v/>
      </c>
      <c r="R465" s="15" t="n"/>
    </row>
    <row r="466">
      <c r="A466" s="15" t="n"/>
      <c r="B466" s="15" t="n"/>
      <c r="C466" s="15" t="n"/>
      <c r="D466" s="15" t="n"/>
      <c r="E466" s="15" t="n"/>
      <c r="F466" s="15" t="n"/>
      <c r="G466" s="15" t="n"/>
      <c r="H466" s="15" t="n"/>
      <c r="I466" s="15" t="n"/>
      <c r="J466" s="15" t="inlineStr">
        <is>
          <t>Không</t>
        </is>
      </c>
      <c r="K466" s="15" t="n"/>
      <c r="L466" s="15" t="n"/>
      <c r="M466" s="15" t="inlineStr">
        <is>
          <t>Mở</t>
        </is>
      </c>
      <c r="N466" s="15" t="n"/>
      <c r="O466" s="15">
        <f>IF(OR(B466="",L466=""),"",B466+IF(L466="P0",0,IF(L466="P1",7,IF(L466="P2",30,90))))</f>
        <v/>
      </c>
      <c r="P466" s="15" t="n"/>
      <c r="Q466" s="15">
        <f>IF(B466="","",IF(P466&lt;&gt;"",P466-B466,TODAY()-B466))</f>
        <v/>
      </c>
      <c r="R466" s="15" t="n"/>
    </row>
    <row r="467">
      <c r="A467" s="15" t="n"/>
      <c r="B467" s="15" t="n"/>
      <c r="C467" s="15" t="n"/>
      <c r="D467" s="15" t="n"/>
      <c r="E467" s="15" t="n"/>
      <c r="F467" s="15" t="n"/>
      <c r="G467" s="15" t="n"/>
      <c r="H467" s="15" t="n"/>
      <c r="I467" s="15" t="n"/>
      <c r="J467" s="15" t="inlineStr">
        <is>
          <t>Không</t>
        </is>
      </c>
      <c r="K467" s="15" t="n"/>
      <c r="L467" s="15" t="n"/>
      <c r="M467" s="15" t="inlineStr">
        <is>
          <t>Mở</t>
        </is>
      </c>
      <c r="N467" s="15" t="n"/>
      <c r="O467" s="15">
        <f>IF(OR(B467="",L467=""),"",B467+IF(L467="P0",0,IF(L467="P1",7,IF(L467="P2",30,90))))</f>
        <v/>
      </c>
      <c r="P467" s="15" t="n"/>
      <c r="Q467" s="15">
        <f>IF(B467="","",IF(P467&lt;&gt;"",P467-B467,TODAY()-B467))</f>
        <v/>
      </c>
      <c r="R467" s="15" t="n"/>
    </row>
    <row r="468">
      <c r="A468" s="15" t="n"/>
      <c r="B468" s="15" t="n"/>
      <c r="C468" s="15" t="n"/>
      <c r="D468" s="15" t="n"/>
      <c r="E468" s="15" t="n"/>
      <c r="F468" s="15" t="n"/>
      <c r="G468" s="15" t="n"/>
      <c r="H468" s="15" t="n"/>
      <c r="I468" s="15" t="n"/>
      <c r="J468" s="15" t="inlineStr">
        <is>
          <t>Không</t>
        </is>
      </c>
      <c r="K468" s="15" t="n"/>
      <c r="L468" s="15" t="n"/>
      <c r="M468" s="15" t="inlineStr">
        <is>
          <t>Mở</t>
        </is>
      </c>
      <c r="N468" s="15" t="n"/>
      <c r="O468" s="15">
        <f>IF(OR(B468="",L468=""),"",B468+IF(L468="P0",0,IF(L468="P1",7,IF(L468="P2",30,90))))</f>
        <v/>
      </c>
      <c r="P468" s="15" t="n"/>
      <c r="Q468" s="15">
        <f>IF(B468="","",IF(P468&lt;&gt;"",P468-B468,TODAY()-B468))</f>
        <v/>
      </c>
      <c r="R468" s="15" t="n"/>
    </row>
    <row r="469">
      <c r="A469" s="15" t="n"/>
      <c r="B469" s="15" t="n"/>
      <c r="C469" s="15" t="n"/>
      <c r="D469" s="15" t="n"/>
      <c r="E469" s="15" t="n"/>
      <c r="F469" s="15" t="n"/>
      <c r="G469" s="15" t="n"/>
      <c r="H469" s="15" t="n"/>
      <c r="I469" s="15" t="n"/>
      <c r="J469" s="15" t="inlineStr">
        <is>
          <t>Không</t>
        </is>
      </c>
      <c r="K469" s="15" t="n"/>
      <c r="L469" s="15" t="n"/>
      <c r="M469" s="15" t="inlineStr">
        <is>
          <t>Mở</t>
        </is>
      </c>
      <c r="N469" s="15" t="n"/>
      <c r="O469" s="15">
        <f>IF(OR(B469="",L469=""),"",B469+IF(L469="P0",0,IF(L469="P1",7,IF(L469="P2",30,90))))</f>
        <v/>
      </c>
      <c r="P469" s="15" t="n"/>
      <c r="Q469" s="15">
        <f>IF(B469="","",IF(P469&lt;&gt;"",P469-B469,TODAY()-B469))</f>
        <v/>
      </c>
      <c r="R469" s="15" t="n"/>
    </row>
    <row r="470">
      <c r="A470" s="15" t="n"/>
      <c r="B470" s="15" t="n"/>
      <c r="C470" s="15" t="n"/>
      <c r="D470" s="15" t="n"/>
      <c r="E470" s="15" t="n"/>
      <c r="F470" s="15" t="n"/>
      <c r="G470" s="15" t="n"/>
      <c r="H470" s="15" t="n"/>
      <c r="I470" s="15" t="n"/>
      <c r="J470" s="15" t="inlineStr">
        <is>
          <t>Không</t>
        </is>
      </c>
      <c r="K470" s="15" t="n"/>
      <c r="L470" s="15" t="n"/>
      <c r="M470" s="15" t="inlineStr">
        <is>
          <t>Mở</t>
        </is>
      </c>
      <c r="N470" s="15" t="n"/>
      <c r="O470" s="15">
        <f>IF(OR(B470="",L470=""),"",B470+IF(L470="P0",0,IF(L470="P1",7,IF(L470="P2",30,90))))</f>
        <v/>
      </c>
      <c r="P470" s="15" t="n"/>
      <c r="Q470" s="15">
        <f>IF(B470="","",IF(P470&lt;&gt;"",P470-B470,TODAY()-B470))</f>
        <v/>
      </c>
      <c r="R470" s="15" t="n"/>
    </row>
    <row r="471">
      <c r="A471" s="15" t="n"/>
      <c r="B471" s="15" t="n"/>
      <c r="C471" s="15" t="n"/>
      <c r="D471" s="15" t="n"/>
      <c r="E471" s="15" t="n"/>
      <c r="F471" s="15" t="n"/>
      <c r="G471" s="15" t="n"/>
      <c r="H471" s="15" t="n"/>
      <c r="I471" s="15" t="n"/>
      <c r="J471" s="15" t="inlineStr">
        <is>
          <t>Không</t>
        </is>
      </c>
      <c r="K471" s="15" t="n"/>
      <c r="L471" s="15" t="n"/>
      <c r="M471" s="15" t="inlineStr">
        <is>
          <t>Mở</t>
        </is>
      </c>
      <c r="N471" s="15" t="n"/>
      <c r="O471" s="15">
        <f>IF(OR(B471="",L471=""),"",B471+IF(L471="P0",0,IF(L471="P1",7,IF(L471="P2",30,90))))</f>
        <v/>
      </c>
      <c r="P471" s="15" t="n"/>
      <c r="Q471" s="15">
        <f>IF(B471="","",IF(P471&lt;&gt;"",P471-B471,TODAY()-B471))</f>
        <v/>
      </c>
      <c r="R471" s="15" t="n"/>
    </row>
    <row r="472">
      <c r="A472" s="15" t="n"/>
      <c r="B472" s="15" t="n"/>
      <c r="C472" s="15" t="n"/>
      <c r="D472" s="15" t="n"/>
      <c r="E472" s="15" t="n"/>
      <c r="F472" s="15" t="n"/>
      <c r="G472" s="15" t="n"/>
      <c r="H472" s="15" t="n"/>
      <c r="I472" s="15" t="n"/>
      <c r="J472" s="15" t="inlineStr">
        <is>
          <t>Không</t>
        </is>
      </c>
      <c r="K472" s="15" t="n"/>
      <c r="L472" s="15" t="n"/>
      <c r="M472" s="15" t="inlineStr">
        <is>
          <t>Mở</t>
        </is>
      </c>
      <c r="N472" s="15" t="n"/>
      <c r="O472" s="15">
        <f>IF(OR(B472="",L472=""),"",B472+IF(L472="P0",0,IF(L472="P1",7,IF(L472="P2",30,90))))</f>
        <v/>
      </c>
      <c r="P472" s="15" t="n"/>
      <c r="Q472" s="15">
        <f>IF(B472="","",IF(P472&lt;&gt;"",P472-B472,TODAY()-B472))</f>
        <v/>
      </c>
      <c r="R472" s="15" t="n"/>
    </row>
    <row r="473">
      <c r="A473" s="15" t="n"/>
      <c r="B473" s="15" t="n"/>
      <c r="C473" s="15" t="n"/>
      <c r="D473" s="15" t="n"/>
      <c r="E473" s="15" t="n"/>
      <c r="F473" s="15" t="n"/>
      <c r="G473" s="15" t="n"/>
      <c r="H473" s="15" t="n"/>
      <c r="I473" s="15" t="n"/>
      <c r="J473" s="15" t="inlineStr">
        <is>
          <t>Không</t>
        </is>
      </c>
      <c r="K473" s="15" t="n"/>
      <c r="L473" s="15" t="n"/>
      <c r="M473" s="15" t="inlineStr">
        <is>
          <t>Mở</t>
        </is>
      </c>
      <c r="N473" s="15" t="n"/>
      <c r="O473" s="15">
        <f>IF(OR(B473="",L473=""),"",B473+IF(L473="P0",0,IF(L473="P1",7,IF(L473="P2",30,90))))</f>
        <v/>
      </c>
      <c r="P473" s="15" t="n"/>
      <c r="Q473" s="15">
        <f>IF(B473="","",IF(P473&lt;&gt;"",P473-B473,TODAY()-B473))</f>
        <v/>
      </c>
      <c r="R473" s="15" t="n"/>
    </row>
    <row r="474">
      <c r="A474" s="15" t="n"/>
      <c r="B474" s="15" t="n"/>
      <c r="C474" s="15" t="n"/>
      <c r="D474" s="15" t="n"/>
      <c r="E474" s="15" t="n"/>
      <c r="F474" s="15" t="n"/>
      <c r="G474" s="15" t="n"/>
      <c r="H474" s="15" t="n"/>
      <c r="I474" s="15" t="n"/>
      <c r="J474" s="15" t="inlineStr">
        <is>
          <t>Không</t>
        </is>
      </c>
      <c r="K474" s="15" t="n"/>
      <c r="L474" s="15" t="n"/>
      <c r="M474" s="15" t="inlineStr">
        <is>
          <t>Mở</t>
        </is>
      </c>
      <c r="N474" s="15" t="n"/>
      <c r="O474" s="15">
        <f>IF(OR(B474="",L474=""),"",B474+IF(L474="P0",0,IF(L474="P1",7,IF(L474="P2",30,90))))</f>
        <v/>
      </c>
      <c r="P474" s="15" t="n"/>
      <c r="Q474" s="15">
        <f>IF(B474="","",IF(P474&lt;&gt;"",P474-B474,TODAY()-B474))</f>
        <v/>
      </c>
      <c r="R474" s="15" t="n"/>
    </row>
    <row r="475">
      <c r="A475" s="15" t="n"/>
      <c r="B475" s="15" t="n"/>
      <c r="C475" s="15" t="n"/>
      <c r="D475" s="15" t="n"/>
      <c r="E475" s="15" t="n"/>
      <c r="F475" s="15" t="n"/>
      <c r="G475" s="15" t="n"/>
      <c r="H475" s="15" t="n"/>
      <c r="I475" s="15" t="n"/>
      <c r="J475" s="15" t="inlineStr">
        <is>
          <t>Không</t>
        </is>
      </c>
      <c r="K475" s="15" t="n"/>
      <c r="L475" s="15" t="n"/>
      <c r="M475" s="15" t="inlineStr">
        <is>
          <t>Mở</t>
        </is>
      </c>
      <c r="N475" s="15" t="n"/>
      <c r="O475" s="15">
        <f>IF(OR(B475="",L475=""),"",B475+IF(L475="P0",0,IF(L475="P1",7,IF(L475="P2",30,90))))</f>
        <v/>
      </c>
      <c r="P475" s="15" t="n"/>
      <c r="Q475" s="15">
        <f>IF(B475="","",IF(P475&lt;&gt;"",P475-B475,TODAY()-B475))</f>
        <v/>
      </c>
      <c r="R475" s="15" t="n"/>
    </row>
    <row r="476">
      <c r="A476" s="15" t="n"/>
      <c r="B476" s="15" t="n"/>
      <c r="C476" s="15" t="n"/>
      <c r="D476" s="15" t="n"/>
      <c r="E476" s="15" t="n"/>
      <c r="F476" s="15" t="n"/>
      <c r="G476" s="15" t="n"/>
      <c r="H476" s="15" t="n"/>
      <c r="I476" s="15" t="n"/>
      <c r="J476" s="15" t="inlineStr">
        <is>
          <t>Không</t>
        </is>
      </c>
      <c r="K476" s="15" t="n"/>
      <c r="L476" s="15" t="n"/>
      <c r="M476" s="15" t="inlineStr">
        <is>
          <t>Mở</t>
        </is>
      </c>
      <c r="N476" s="15" t="n"/>
      <c r="O476" s="15">
        <f>IF(OR(B476="",L476=""),"",B476+IF(L476="P0",0,IF(L476="P1",7,IF(L476="P2",30,90))))</f>
        <v/>
      </c>
      <c r="P476" s="15" t="n"/>
      <c r="Q476" s="15">
        <f>IF(B476="","",IF(P476&lt;&gt;"",P476-B476,TODAY()-B476))</f>
        <v/>
      </c>
      <c r="R476" s="15" t="n"/>
    </row>
    <row r="477">
      <c r="A477" s="15" t="n"/>
      <c r="B477" s="15" t="n"/>
      <c r="C477" s="15" t="n"/>
      <c r="D477" s="15" t="n"/>
      <c r="E477" s="15" t="n"/>
      <c r="F477" s="15" t="n"/>
      <c r="G477" s="15" t="n"/>
      <c r="H477" s="15" t="n"/>
      <c r="I477" s="15" t="n"/>
      <c r="J477" s="15" t="inlineStr">
        <is>
          <t>Không</t>
        </is>
      </c>
      <c r="K477" s="15" t="n"/>
      <c r="L477" s="15" t="n"/>
      <c r="M477" s="15" t="inlineStr">
        <is>
          <t>Mở</t>
        </is>
      </c>
      <c r="N477" s="15" t="n"/>
      <c r="O477" s="15">
        <f>IF(OR(B477="",L477=""),"",B477+IF(L477="P0",0,IF(L477="P1",7,IF(L477="P2",30,90))))</f>
        <v/>
      </c>
      <c r="P477" s="15" t="n"/>
      <c r="Q477" s="15">
        <f>IF(B477="","",IF(P477&lt;&gt;"",P477-B477,TODAY()-B477))</f>
        <v/>
      </c>
      <c r="R477" s="15" t="n"/>
    </row>
    <row r="478">
      <c r="A478" s="15" t="n"/>
      <c r="B478" s="15" t="n"/>
      <c r="C478" s="15" t="n"/>
      <c r="D478" s="15" t="n"/>
      <c r="E478" s="15" t="n"/>
      <c r="F478" s="15" t="n"/>
      <c r="G478" s="15" t="n"/>
      <c r="H478" s="15" t="n"/>
      <c r="I478" s="15" t="n"/>
      <c r="J478" s="15" t="inlineStr">
        <is>
          <t>Không</t>
        </is>
      </c>
      <c r="K478" s="15" t="n"/>
      <c r="L478" s="15" t="n"/>
      <c r="M478" s="15" t="inlineStr">
        <is>
          <t>Mở</t>
        </is>
      </c>
      <c r="N478" s="15" t="n"/>
      <c r="O478" s="15">
        <f>IF(OR(B478="",L478=""),"",B478+IF(L478="P0",0,IF(L478="P1",7,IF(L478="P2",30,90))))</f>
        <v/>
      </c>
      <c r="P478" s="15" t="n"/>
      <c r="Q478" s="15">
        <f>IF(B478="","",IF(P478&lt;&gt;"",P478-B478,TODAY()-B478))</f>
        <v/>
      </c>
      <c r="R478" s="15" t="n"/>
    </row>
    <row r="479">
      <c r="A479" s="15" t="n"/>
      <c r="B479" s="15" t="n"/>
      <c r="C479" s="15" t="n"/>
      <c r="D479" s="15" t="n"/>
      <c r="E479" s="15" t="n"/>
      <c r="F479" s="15" t="n"/>
      <c r="G479" s="15" t="n"/>
      <c r="H479" s="15" t="n"/>
      <c r="I479" s="15" t="n"/>
      <c r="J479" s="15" t="inlineStr">
        <is>
          <t>Không</t>
        </is>
      </c>
      <c r="K479" s="15" t="n"/>
      <c r="L479" s="15" t="n"/>
      <c r="M479" s="15" t="inlineStr">
        <is>
          <t>Mở</t>
        </is>
      </c>
      <c r="N479" s="15" t="n"/>
      <c r="O479" s="15">
        <f>IF(OR(B479="",L479=""),"",B479+IF(L479="P0",0,IF(L479="P1",7,IF(L479="P2",30,90))))</f>
        <v/>
      </c>
      <c r="P479" s="15" t="n"/>
      <c r="Q479" s="15">
        <f>IF(B479="","",IF(P479&lt;&gt;"",P479-B479,TODAY()-B479))</f>
        <v/>
      </c>
      <c r="R479" s="15" t="n"/>
    </row>
    <row r="480">
      <c r="A480" s="15" t="n"/>
      <c r="B480" s="15" t="n"/>
      <c r="C480" s="15" t="n"/>
      <c r="D480" s="15" t="n"/>
      <c r="E480" s="15" t="n"/>
      <c r="F480" s="15" t="n"/>
      <c r="G480" s="15" t="n"/>
      <c r="H480" s="15" t="n"/>
      <c r="I480" s="15" t="n"/>
      <c r="J480" s="15" t="inlineStr">
        <is>
          <t>Không</t>
        </is>
      </c>
      <c r="K480" s="15" t="n"/>
      <c r="L480" s="15" t="n"/>
      <c r="M480" s="15" t="inlineStr">
        <is>
          <t>Mở</t>
        </is>
      </c>
      <c r="N480" s="15" t="n"/>
      <c r="O480" s="15">
        <f>IF(OR(B480="",L480=""),"",B480+IF(L480="P0",0,IF(L480="P1",7,IF(L480="P2",30,90))))</f>
        <v/>
      </c>
      <c r="P480" s="15" t="n"/>
      <c r="Q480" s="15">
        <f>IF(B480="","",IF(P480&lt;&gt;"",P480-B480,TODAY()-B480))</f>
        <v/>
      </c>
      <c r="R480" s="15" t="n"/>
    </row>
    <row r="481">
      <c r="A481" s="15" t="n"/>
      <c r="B481" s="15" t="n"/>
      <c r="C481" s="15" t="n"/>
      <c r="D481" s="15" t="n"/>
      <c r="E481" s="15" t="n"/>
      <c r="F481" s="15" t="n"/>
      <c r="G481" s="15" t="n"/>
      <c r="H481" s="15" t="n"/>
      <c r="I481" s="15" t="n"/>
      <c r="J481" s="15" t="inlineStr">
        <is>
          <t>Không</t>
        </is>
      </c>
      <c r="K481" s="15" t="n"/>
      <c r="L481" s="15" t="n"/>
      <c r="M481" s="15" t="inlineStr">
        <is>
          <t>Mở</t>
        </is>
      </c>
      <c r="N481" s="15" t="n"/>
      <c r="O481" s="15">
        <f>IF(OR(B481="",L481=""),"",B481+IF(L481="P0",0,IF(L481="P1",7,IF(L481="P2",30,90))))</f>
        <v/>
      </c>
      <c r="P481" s="15" t="n"/>
      <c r="Q481" s="15">
        <f>IF(B481="","",IF(P481&lt;&gt;"",P481-B481,TODAY()-B481))</f>
        <v/>
      </c>
      <c r="R481" s="15" t="n"/>
    </row>
    <row r="482">
      <c r="A482" s="15" t="n"/>
      <c r="B482" s="15" t="n"/>
      <c r="C482" s="15" t="n"/>
      <c r="D482" s="15" t="n"/>
      <c r="E482" s="15" t="n"/>
      <c r="F482" s="15" t="n"/>
      <c r="G482" s="15" t="n"/>
      <c r="H482" s="15" t="n"/>
      <c r="I482" s="15" t="n"/>
      <c r="J482" s="15" t="inlineStr">
        <is>
          <t>Không</t>
        </is>
      </c>
      <c r="K482" s="15" t="n"/>
      <c r="L482" s="15" t="n"/>
      <c r="M482" s="15" t="inlineStr">
        <is>
          <t>Mở</t>
        </is>
      </c>
      <c r="N482" s="15" t="n"/>
      <c r="O482" s="15">
        <f>IF(OR(B482="",L482=""),"",B482+IF(L482="P0",0,IF(L482="P1",7,IF(L482="P2",30,90))))</f>
        <v/>
      </c>
      <c r="P482" s="15" t="n"/>
      <c r="Q482" s="15">
        <f>IF(B482="","",IF(P482&lt;&gt;"",P482-B482,TODAY()-B482))</f>
        <v/>
      </c>
      <c r="R482" s="15" t="n"/>
    </row>
    <row r="483">
      <c r="A483" s="15" t="n"/>
      <c r="B483" s="15" t="n"/>
      <c r="C483" s="15" t="n"/>
      <c r="D483" s="15" t="n"/>
      <c r="E483" s="15" t="n"/>
      <c r="F483" s="15" t="n"/>
      <c r="G483" s="15" t="n"/>
      <c r="H483" s="15" t="n"/>
      <c r="I483" s="15" t="n"/>
      <c r="J483" s="15" t="inlineStr">
        <is>
          <t>Không</t>
        </is>
      </c>
      <c r="K483" s="15" t="n"/>
      <c r="L483" s="15" t="n"/>
      <c r="M483" s="15" t="inlineStr">
        <is>
          <t>Mở</t>
        </is>
      </c>
      <c r="N483" s="15" t="n"/>
      <c r="O483" s="15">
        <f>IF(OR(B483="",L483=""),"",B483+IF(L483="P0",0,IF(L483="P1",7,IF(L483="P2",30,90))))</f>
        <v/>
      </c>
      <c r="P483" s="15" t="n"/>
      <c r="Q483" s="15">
        <f>IF(B483="","",IF(P483&lt;&gt;"",P483-B483,TODAY()-B483))</f>
        <v/>
      </c>
      <c r="R483" s="15" t="n"/>
    </row>
    <row r="484">
      <c r="A484" s="15" t="n"/>
      <c r="B484" s="15" t="n"/>
      <c r="C484" s="15" t="n"/>
      <c r="D484" s="15" t="n"/>
      <c r="E484" s="15" t="n"/>
      <c r="F484" s="15" t="n"/>
      <c r="G484" s="15" t="n"/>
      <c r="H484" s="15" t="n"/>
      <c r="I484" s="15" t="n"/>
      <c r="J484" s="15" t="inlineStr">
        <is>
          <t>Không</t>
        </is>
      </c>
      <c r="K484" s="15" t="n"/>
      <c r="L484" s="15" t="n"/>
      <c r="M484" s="15" t="inlineStr">
        <is>
          <t>Mở</t>
        </is>
      </c>
      <c r="N484" s="15" t="n"/>
      <c r="O484" s="15">
        <f>IF(OR(B484="",L484=""),"",B484+IF(L484="P0",0,IF(L484="P1",7,IF(L484="P2",30,90))))</f>
        <v/>
      </c>
      <c r="P484" s="15" t="n"/>
      <c r="Q484" s="15">
        <f>IF(B484="","",IF(P484&lt;&gt;"",P484-B484,TODAY()-B484))</f>
        <v/>
      </c>
      <c r="R484" s="15" t="n"/>
    </row>
    <row r="485">
      <c r="A485" s="15" t="n"/>
      <c r="B485" s="15" t="n"/>
      <c r="C485" s="15" t="n"/>
      <c r="D485" s="15" t="n"/>
      <c r="E485" s="15" t="n"/>
      <c r="F485" s="15" t="n"/>
      <c r="G485" s="15" t="n"/>
      <c r="H485" s="15" t="n"/>
      <c r="I485" s="15" t="n"/>
      <c r="J485" s="15" t="inlineStr">
        <is>
          <t>Không</t>
        </is>
      </c>
      <c r="K485" s="15" t="n"/>
      <c r="L485" s="15" t="n"/>
      <c r="M485" s="15" t="inlineStr">
        <is>
          <t>Mở</t>
        </is>
      </c>
      <c r="N485" s="15" t="n"/>
      <c r="O485" s="15">
        <f>IF(OR(B485="",L485=""),"",B485+IF(L485="P0",0,IF(L485="P1",7,IF(L485="P2",30,90))))</f>
        <v/>
      </c>
      <c r="P485" s="15" t="n"/>
      <c r="Q485" s="15">
        <f>IF(B485="","",IF(P485&lt;&gt;"",P485-B485,TODAY()-B485))</f>
        <v/>
      </c>
      <c r="R485" s="15" t="n"/>
    </row>
    <row r="486">
      <c r="A486" s="15" t="n"/>
      <c r="B486" s="15" t="n"/>
      <c r="C486" s="15" t="n"/>
      <c r="D486" s="15" t="n"/>
      <c r="E486" s="15" t="n"/>
      <c r="F486" s="15" t="n"/>
      <c r="G486" s="15" t="n"/>
      <c r="H486" s="15" t="n"/>
      <c r="I486" s="15" t="n"/>
      <c r="J486" s="15" t="inlineStr">
        <is>
          <t>Không</t>
        </is>
      </c>
      <c r="K486" s="15" t="n"/>
      <c r="L486" s="15" t="n"/>
      <c r="M486" s="15" t="inlineStr">
        <is>
          <t>Mở</t>
        </is>
      </c>
      <c r="N486" s="15" t="n"/>
      <c r="O486" s="15">
        <f>IF(OR(B486="",L486=""),"",B486+IF(L486="P0",0,IF(L486="P1",7,IF(L486="P2",30,90))))</f>
        <v/>
      </c>
      <c r="P486" s="15" t="n"/>
      <c r="Q486" s="15">
        <f>IF(B486="","",IF(P486&lt;&gt;"",P486-B486,TODAY()-B486))</f>
        <v/>
      </c>
      <c r="R486" s="15" t="n"/>
    </row>
    <row r="487">
      <c r="A487" s="15" t="n"/>
      <c r="B487" s="15" t="n"/>
      <c r="C487" s="15" t="n"/>
      <c r="D487" s="15" t="n"/>
      <c r="E487" s="15" t="n"/>
      <c r="F487" s="15" t="n"/>
      <c r="G487" s="15" t="n"/>
      <c r="H487" s="15" t="n"/>
      <c r="I487" s="15" t="n"/>
      <c r="J487" s="15" t="inlineStr">
        <is>
          <t>Không</t>
        </is>
      </c>
      <c r="K487" s="15" t="n"/>
      <c r="L487" s="15" t="n"/>
      <c r="M487" s="15" t="inlineStr">
        <is>
          <t>Mở</t>
        </is>
      </c>
      <c r="N487" s="15" t="n"/>
      <c r="O487" s="15">
        <f>IF(OR(B487="",L487=""),"",B487+IF(L487="P0",0,IF(L487="P1",7,IF(L487="P2",30,90))))</f>
        <v/>
      </c>
      <c r="P487" s="15" t="n"/>
      <c r="Q487" s="15">
        <f>IF(B487="","",IF(P487&lt;&gt;"",P487-B487,TODAY()-B487))</f>
        <v/>
      </c>
      <c r="R487" s="15" t="n"/>
    </row>
    <row r="488">
      <c r="A488" s="15" t="n"/>
      <c r="B488" s="15" t="n"/>
      <c r="C488" s="15" t="n"/>
      <c r="D488" s="15" t="n"/>
      <c r="E488" s="15" t="n"/>
      <c r="F488" s="15" t="n"/>
      <c r="G488" s="15" t="n"/>
      <c r="H488" s="15" t="n"/>
      <c r="I488" s="15" t="n"/>
      <c r="J488" s="15" t="inlineStr">
        <is>
          <t>Không</t>
        </is>
      </c>
      <c r="K488" s="15" t="n"/>
      <c r="L488" s="15" t="n"/>
      <c r="M488" s="15" t="inlineStr">
        <is>
          <t>Mở</t>
        </is>
      </c>
      <c r="N488" s="15" t="n"/>
      <c r="O488" s="15">
        <f>IF(OR(B488="",L488=""),"",B488+IF(L488="P0",0,IF(L488="P1",7,IF(L488="P2",30,90))))</f>
        <v/>
      </c>
      <c r="P488" s="15" t="n"/>
      <c r="Q488" s="15">
        <f>IF(B488="","",IF(P488&lt;&gt;"",P488-B488,TODAY()-B488))</f>
        <v/>
      </c>
      <c r="R488" s="15" t="n"/>
    </row>
    <row r="489">
      <c r="A489" s="15" t="n"/>
      <c r="B489" s="15" t="n"/>
      <c r="C489" s="15" t="n"/>
      <c r="D489" s="15" t="n"/>
      <c r="E489" s="15" t="n"/>
      <c r="F489" s="15" t="n"/>
      <c r="G489" s="15" t="n"/>
      <c r="H489" s="15" t="n"/>
      <c r="I489" s="15" t="n"/>
      <c r="J489" s="15" t="inlineStr">
        <is>
          <t>Không</t>
        </is>
      </c>
      <c r="K489" s="15" t="n"/>
      <c r="L489" s="15" t="n"/>
      <c r="M489" s="15" t="inlineStr">
        <is>
          <t>Mở</t>
        </is>
      </c>
      <c r="N489" s="15" t="n"/>
      <c r="O489" s="15">
        <f>IF(OR(B489="",L489=""),"",B489+IF(L489="P0",0,IF(L489="P1",7,IF(L489="P2",30,90))))</f>
        <v/>
      </c>
      <c r="P489" s="15" t="n"/>
      <c r="Q489" s="15">
        <f>IF(B489="","",IF(P489&lt;&gt;"",P489-B489,TODAY()-B489))</f>
        <v/>
      </c>
      <c r="R489" s="15" t="n"/>
    </row>
    <row r="490">
      <c r="A490" s="15" t="n"/>
      <c r="B490" s="15" t="n"/>
      <c r="C490" s="15" t="n"/>
      <c r="D490" s="15" t="n"/>
      <c r="E490" s="15" t="n"/>
      <c r="F490" s="15" t="n"/>
      <c r="G490" s="15" t="n"/>
      <c r="H490" s="15" t="n"/>
      <c r="I490" s="15" t="n"/>
      <c r="J490" s="15" t="inlineStr">
        <is>
          <t>Không</t>
        </is>
      </c>
      <c r="K490" s="15" t="n"/>
      <c r="L490" s="15" t="n"/>
      <c r="M490" s="15" t="inlineStr">
        <is>
          <t>Mở</t>
        </is>
      </c>
      <c r="N490" s="15" t="n"/>
      <c r="O490" s="15">
        <f>IF(OR(B490="",L490=""),"",B490+IF(L490="P0",0,IF(L490="P1",7,IF(L490="P2",30,90))))</f>
        <v/>
      </c>
      <c r="P490" s="15" t="n"/>
      <c r="Q490" s="15">
        <f>IF(B490="","",IF(P490&lt;&gt;"",P490-B490,TODAY()-B490))</f>
        <v/>
      </c>
      <c r="R490" s="15" t="n"/>
    </row>
    <row r="491">
      <c r="A491" s="15" t="n"/>
      <c r="B491" s="15" t="n"/>
      <c r="C491" s="15" t="n"/>
      <c r="D491" s="15" t="n"/>
      <c r="E491" s="15" t="n"/>
      <c r="F491" s="15" t="n"/>
      <c r="G491" s="15" t="n"/>
      <c r="H491" s="15" t="n"/>
      <c r="I491" s="15" t="n"/>
      <c r="J491" s="15" t="inlineStr">
        <is>
          <t>Không</t>
        </is>
      </c>
      <c r="K491" s="15" t="n"/>
      <c r="L491" s="15" t="n"/>
      <c r="M491" s="15" t="inlineStr">
        <is>
          <t>Mở</t>
        </is>
      </c>
      <c r="N491" s="15" t="n"/>
      <c r="O491" s="15">
        <f>IF(OR(B491="",L491=""),"",B491+IF(L491="P0",0,IF(L491="P1",7,IF(L491="P2",30,90))))</f>
        <v/>
      </c>
      <c r="P491" s="15" t="n"/>
      <c r="Q491" s="15">
        <f>IF(B491="","",IF(P491&lt;&gt;"",P491-B491,TODAY()-B491))</f>
        <v/>
      </c>
      <c r="R491" s="15" t="n"/>
    </row>
    <row r="492">
      <c r="A492" s="15" t="n"/>
      <c r="B492" s="15" t="n"/>
      <c r="C492" s="15" t="n"/>
      <c r="D492" s="15" t="n"/>
      <c r="E492" s="15" t="n"/>
      <c r="F492" s="15" t="n"/>
      <c r="G492" s="15" t="n"/>
      <c r="H492" s="15" t="n"/>
      <c r="I492" s="15" t="n"/>
      <c r="J492" s="15" t="inlineStr">
        <is>
          <t>Không</t>
        </is>
      </c>
      <c r="K492" s="15" t="n"/>
      <c r="L492" s="15" t="n"/>
      <c r="M492" s="15" t="inlineStr">
        <is>
          <t>Mở</t>
        </is>
      </c>
      <c r="N492" s="15" t="n"/>
      <c r="O492" s="15">
        <f>IF(OR(B492="",L492=""),"",B492+IF(L492="P0",0,IF(L492="P1",7,IF(L492="P2",30,90))))</f>
        <v/>
      </c>
      <c r="P492" s="15" t="n"/>
      <c r="Q492" s="15">
        <f>IF(B492="","",IF(P492&lt;&gt;"",P492-B492,TODAY()-B492))</f>
        <v/>
      </c>
      <c r="R492" s="15" t="n"/>
    </row>
    <row r="493">
      <c r="A493" s="15" t="n"/>
      <c r="B493" s="15" t="n"/>
      <c r="C493" s="15" t="n"/>
      <c r="D493" s="15" t="n"/>
      <c r="E493" s="15" t="n"/>
      <c r="F493" s="15" t="n"/>
      <c r="G493" s="15" t="n"/>
      <c r="H493" s="15" t="n"/>
      <c r="I493" s="15" t="n"/>
      <c r="J493" s="15" t="inlineStr">
        <is>
          <t>Không</t>
        </is>
      </c>
      <c r="K493" s="15" t="n"/>
      <c r="L493" s="15" t="n"/>
      <c r="M493" s="15" t="inlineStr">
        <is>
          <t>Mở</t>
        </is>
      </c>
      <c r="N493" s="15" t="n"/>
      <c r="O493" s="15">
        <f>IF(OR(B493="",L493=""),"",B493+IF(L493="P0",0,IF(L493="P1",7,IF(L493="P2",30,90))))</f>
        <v/>
      </c>
      <c r="P493" s="15" t="n"/>
      <c r="Q493" s="15">
        <f>IF(B493="","",IF(P493&lt;&gt;"",P493-B493,TODAY()-B493))</f>
        <v/>
      </c>
      <c r="R493" s="15" t="n"/>
    </row>
    <row r="494">
      <c r="A494" s="15" t="n"/>
      <c r="B494" s="15" t="n"/>
      <c r="C494" s="15" t="n"/>
      <c r="D494" s="15" t="n"/>
      <c r="E494" s="15" t="n"/>
      <c r="F494" s="15" t="n"/>
      <c r="G494" s="15" t="n"/>
      <c r="H494" s="15" t="n"/>
      <c r="I494" s="15" t="n"/>
      <c r="J494" s="15" t="inlineStr">
        <is>
          <t>Không</t>
        </is>
      </c>
      <c r="K494" s="15" t="n"/>
      <c r="L494" s="15" t="n"/>
      <c r="M494" s="15" t="inlineStr">
        <is>
          <t>Mở</t>
        </is>
      </c>
      <c r="N494" s="15" t="n"/>
      <c r="O494" s="15">
        <f>IF(OR(B494="",L494=""),"",B494+IF(L494="P0",0,IF(L494="P1",7,IF(L494="P2",30,90))))</f>
        <v/>
      </c>
      <c r="P494" s="15" t="n"/>
      <c r="Q494" s="15">
        <f>IF(B494="","",IF(P494&lt;&gt;"",P494-B494,TODAY()-B494))</f>
        <v/>
      </c>
      <c r="R494" s="15" t="n"/>
    </row>
    <row r="495">
      <c r="A495" s="15" t="n"/>
      <c r="B495" s="15" t="n"/>
      <c r="C495" s="15" t="n"/>
      <c r="D495" s="15" t="n"/>
      <c r="E495" s="15" t="n"/>
      <c r="F495" s="15" t="n"/>
      <c r="G495" s="15" t="n"/>
      <c r="H495" s="15" t="n"/>
      <c r="I495" s="15" t="n"/>
      <c r="J495" s="15" t="inlineStr">
        <is>
          <t>Không</t>
        </is>
      </c>
      <c r="K495" s="15" t="n"/>
      <c r="L495" s="15" t="n"/>
      <c r="M495" s="15" t="inlineStr">
        <is>
          <t>Mở</t>
        </is>
      </c>
      <c r="N495" s="15" t="n"/>
      <c r="O495" s="15">
        <f>IF(OR(B495="",L495=""),"",B495+IF(L495="P0",0,IF(L495="P1",7,IF(L495="P2",30,90))))</f>
        <v/>
      </c>
      <c r="P495" s="15" t="n"/>
      <c r="Q495" s="15">
        <f>IF(B495="","",IF(P495&lt;&gt;"",P495-B495,TODAY()-B495))</f>
        <v/>
      </c>
      <c r="R495" s="15" t="n"/>
    </row>
    <row r="496">
      <c r="A496" s="15" t="n"/>
      <c r="B496" s="15" t="n"/>
      <c r="C496" s="15" t="n"/>
      <c r="D496" s="15" t="n"/>
      <c r="E496" s="15" t="n"/>
      <c r="F496" s="15" t="n"/>
      <c r="G496" s="15" t="n"/>
      <c r="H496" s="15" t="n"/>
      <c r="I496" s="15" t="n"/>
      <c r="J496" s="15" t="inlineStr">
        <is>
          <t>Không</t>
        </is>
      </c>
      <c r="K496" s="15" t="n"/>
      <c r="L496" s="15" t="n"/>
      <c r="M496" s="15" t="inlineStr">
        <is>
          <t>Mở</t>
        </is>
      </c>
      <c r="N496" s="15" t="n"/>
      <c r="O496" s="15">
        <f>IF(OR(B496="",L496=""),"",B496+IF(L496="P0",0,IF(L496="P1",7,IF(L496="P2",30,90))))</f>
        <v/>
      </c>
      <c r="P496" s="15" t="n"/>
      <c r="Q496" s="15">
        <f>IF(B496="","",IF(P496&lt;&gt;"",P496-B496,TODAY()-B496))</f>
        <v/>
      </c>
      <c r="R496" s="15" t="n"/>
    </row>
    <row r="497">
      <c r="A497" s="15" t="n"/>
      <c r="B497" s="15" t="n"/>
      <c r="C497" s="15" t="n"/>
      <c r="D497" s="15" t="n"/>
      <c r="E497" s="15" t="n"/>
      <c r="F497" s="15" t="n"/>
      <c r="G497" s="15" t="n"/>
      <c r="H497" s="15" t="n"/>
      <c r="I497" s="15" t="n"/>
      <c r="J497" s="15" t="inlineStr">
        <is>
          <t>Không</t>
        </is>
      </c>
      <c r="K497" s="15" t="n"/>
      <c r="L497" s="15" t="n"/>
      <c r="M497" s="15" t="inlineStr">
        <is>
          <t>Mở</t>
        </is>
      </c>
      <c r="N497" s="15" t="n"/>
      <c r="O497" s="15">
        <f>IF(OR(B497="",L497=""),"",B497+IF(L497="P0",0,IF(L497="P1",7,IF(L497="P2",30,90))))</f>
        <v/>
      </c>
      <c r="P497" s="15" t="n"/>
      <c r="Q497" s="15">
        <f>IF(B497="","",IF(P497&lt;&gt;"",P497-B497,TODAY()-B497))</f>
        <v/>
      </c>
      <c r="R497" s="15" t="n"/>
    </row>
    <row r="498">
      <c r="A498" s="15" t="n"/>
      <c r="B498" s="15" t="n"/>
      <c r="C498" s="15" t="n"/>
      <c r="D498" s="15" t="n"/>
      <c r="E498" s="15" t="n"/>
      <c r="F498" s="15" t="n"/>
      <c r="G498" s="15" t="n"/>
      <c r="H498" s="15" t="n"/>
      <c r="I498" s="15" t="n"/>
      <c r="J498" s="15" t="inlineStr">
        <is>
          <t>Không</t>
        </is>
      </c>
      <c r="K498" s="15" t="n"/>
      <c r="L498" s="15" t="n"/>
      <c r="M498" s="15" t="inlineStr">
        <is>
          <t>Mở</t>
        </is>
      </c>
      <c r="N498" s="15" t="n"/>
      <c r="O498" s="15">
        <f>IF(OR(B498="",L498=""),"",B498+IF(L498="P0",0,IF(L498="P1",7,IF(L498="P2",30,90))))</f>
        <v/>
      </c>
      <c r="P498" s="15" t="n"/>
      <c r="Q498" s="15">
        <f>IF(B498="","",IF(P498&lt;&gt;"",P498-B498,TODAY()-B498))</f>
        <v/>
      </c>
      <c r="R498" s="15" t="n"/>
    </row>
    <row r="499">
      <c r="A499" s="15" t="n"/>
      <c r="B499" s="15" t="n"/>
      <c r="C499" s="15" t="n"/>
      <c r="D499" s="15" t="n"/>
      <c r="E499" s="15" t="n"/>
      <c r="F499" s="15" t="n"/>
      <c r="G499" s="15" t="n"/>
      <c r="H499" s="15" t="n"/>
      <c r="I499" s="15" t="n"/>
      <c r="J499" s="15" t="inlineStr">
        <is>
          <t>Không</t>
        </is>
      </c>
      <c r="K499" s="15" t="n"/>
      <c r="L499" s="15" t="n"/>
      <c r="M499" s="15" t="inlineStr">
        <is>
          <t>Mở</t>
        </is>
      </c>
      <c r="N499" s="15" t="n"/>
      <c r="O499" s="15">
        <f>IF(OR(B499="",L499=""),"",B499+IF(L499="P0",0,IF(L499="P1",7,IF(L499="P2",30,90))))</f>
        <v/>
      </c>
      <c r="P499" s="15" t="n"/>
      <c r="Q499" s="15">
        <f>IF(B499="","",IF(P499&lt;&gt;"",P499-B499,TODAY()-B499))</f>
        <v/>
      </c>
      <c r="R499" s="15" t="n"/>
    </row>
    <row r="500">
      <c r="A500" s="15" t="n"/>
      <c r="B500" s="15" t="n"/>
      <c r="C500" s="15" t="n"/>
      <c r="D500" s="15" t="n"/>
      <c r="E500" s="15" t="n"/>
      <c r="F500" s="15" t="n"/>
      <c r="G500" s="15" t="n"/>
      <c r="H500" s="15" t="n"/>
      <c r="I500" s="15" t="n"/>
      <c r="J500" s="15" t="inlineStr">
        <is>
          <t>Không</t>
        </is>
      </c>
      <c r="K500" s="15" t="n"/>
      <c r="L500" s="15" t="n"/>
      <c r="M500" s="15" t="inlineStr">
        <is>
          <t>Mở</t>
        </is>
      </c>
      <c r="N500" s="15" t="n"/>
      <c r="O500" s="15">
        <f>IF(OR(B500="",L500=""),"",B500+IF(L500="P0",0,IF(L500="P1",7,IF(L500="P2",30,90))))</f>
        <v/>
      </c>
      <c r="P500" s="15" t="n"/>
      <c r="Q500" s="15">
        <f>IF(B500="","",IF(P500&lt;&gt;"",P500-B500,TODAY()-B500))</f>
        <v/>
      </c>
      <c r="R500" s="15" t="n"/>
    </row>
    <row r="501">
      <c r="A501" s="15" t="n"/>
      <c r="B501" s="15" t="n"/>
      <c r="C501" s="15" t="n"/>
      <c r="D501" s="15" t="n"/>
      <c r="E501" s="15" t="n"/>
      <c r="F501" s="15" t="n"/>
      <c r="G501" s="15" t="n"/>
      <c r="H501" s="15" t="n"/>
      <c r="I501" s="15" t="n"/>
      <c r="J501" s="15" t="inlineStr">
        <is>
          <t>Không</t>
        </is>
      </c>
      <c r="K501" s="15" t="n"/>
      <c r="L501" s="15" t="n"/>
      <c r="M501" s="15" t="inlineStr">
        <is>
          <t>Mở</t>
        </is>
      </c>
      <c r="N501" s="15" t="n"/>
      <c r="O501" s="15">
        <f>IF(OR(B501="",L501=""),"",B501+IF(L501="P0",0,IF(L501="P1",7,IF(L501="P2",30,90))))</f>
        <v/>
      </c>
      <c r="P501" s="15" t="n"/>
      <c r="Q501" s="15">
        <f>IF(B501="","",IF(P501&lt;&gt;"",P501-B501,TODAY()-B501))</f>
        <v/>
      </c>
      <c r="R501" s="15" t="n"/>
    </row>
    <row r="502">
      <c r="A502" s="15" t="n"/>
      <c r="B502" s="15" t="n"/>
      <c r="C502" s="15" t="n"/>
      <c r="D502" s="15" t="n"/>
      <c r="E502" s="15" t="n"/>
      <c r="F502" s="15" t="n"/>
      <c r="G502" s="15" t="n"/>
      <c r="H502" s="15" t="n"/>
      <c r="I502" s="15" t="n"/>
      <c r="J502" s="15" t="inlineStr">
        <is>
          <t>Không</t>
        </is>
      </c>
      <c r="K502" s="15" t="n"/>
      <c r="L502" s="15" t="n"/>
      <c r="M502" s="15" t="inlineStr">
        <is>
          <t>Mở</t>
        </is>
      </c>
      <c r="N502" s="15" t="n"/>
      <c r="O502" s="15">
        <f>IF(OR(B502="",L502=""),"",B502+IF(L502="P0",0,IF(L502="P1",7,IF(L502="P2",30,90))))</f>
        <v/>
      </c>
      <c r="P502" s="15" t="n"/>
      <c r="Q502" s="15">
        <f>IF(B502="","",IF(P502&lt;&gt;"",P502-B502,TODAY()-B502))</f>
        <v/>
      </c>
      <c r="R502" s="15" t="n"/>
    </row>
    <row r="503">
      <c r="A503" s="15" t="n"/>
      <c r="B503" s="15" t="n"/>
      <c r="C503" s="15" t="n"/>
      <c r="D503" s="15" t="n"/>
      <c r="E503" s="15" t="n"/>
      <c r="F503" s="15" t="n"/>
      <c r="G503" s="15" t="n"/>
      <c r="H503" s="15" t="n"/>
      <c r="I503" s="15" t="n"/>
      <c r="J503" s="15" t="inlineStr">
        <is>
          <t>Không</t>
        </is>
      </c>
      <c r="K503" s="15" t="n"/>
      <c r="L503" s="15" t="n"/>
      <c r="M503" s="15" t="inlineStr">
        <is>
          <t>Mở</t>
        </is>
      </c>
      <c r="N503" s="15" t="n"/>
      <c r="O503" s="15">
        <f>IF(OR(B503="",L503=""),"",B503+IF(L503="P0",0,IF(L503="P1",7,IF(L503="P2",30,90))))</f>
        <v/>
      </c>
      <c r="P503" s="15" t="n"/>
      <c r="Q503" s="15">
        <f>IF(B503="","",IF(P503&lt;&gt;"",P503-B503,TODAY()-B503))</f>
        <v/>
      </c>
      <c r="R503" s="15" t="n"/>
    </row>
    <row r="504">
      <c r="A504" s="15" t="n"/>
      <c r="B504" s="15" t="n"/>
      <c r="C504" s="15" t="n"/>
      <c r="D504" s="15" t="n"/>
      <c r="E504" s="15" t="n"/>
      <c r="F504" s="15" t="n"/>
      <c r="G504" s="15" t="n"/>
      <c r="H504" s="15" t="n"/>
      <c r="I504" s="15" t="n"/>
      <c r="J504" s="15" t="inlineStr">
        <is>
          <t>Không</t>
        </is>
      </c>
      <c r="K504" s="15" t="n"/>
      <c r="L504" s="15" t="n"/>
      <c r="M504" s="15" t="inlineStr">
        <is>
          <t>Mở</t>
        </is>
      </c>
      <c r="N504" s="15" t="n"/>
      <c r="O504" s="15">
        <f>IF(OR(B504="",L504=""),"",B504+IF(L504="P0",0,IF(L504="P1",7,IF(L504="P2",30,90))))</f>
        <v/>
      </c>
      <c r="P504" s="15" t="n"/>
      <c r="Q504" s="15">
        <f>IF(B504="","",IF(P504&lt;&gt;"",P504-B504,TODAY()-B504))</f>
        <v/>
      </c>
      <c r="R504" s="15" t="n"/>
    </row>
  </sheetData>
  <mergeCells count="2">
    <mergeCell ref="A2:R2"/>
    <mergeCell ref="A1:R1"/>
  </mergeCells>
  <conditionalFormatting sqref="A5:R1000">
    <cfRule type="expression" priority="1" dxfId="1">
      <formula>AND($L5="P0",$M5&lt;&gt;"Hoàn tất",$M5&lt;&gt;"Loại có lý do")</formula>
    </cfRule>
    <cfRule type="expression" priority="2" dxfId="2">
      <formula>AND($L5="P1",$M5&lt;&gt;"Hoàn tất",$M5&lt;&gt;"Loại có lý do")</formula>
    </cfRule>
  </conditionalFormatting>
  <conditionalFormatting sqref="O5:O1000">
    <cfRule type="expression" priority="3" dxfId="1">
      <formula>AND($O5&lt;TODAY(),$O5&lt;&gt;"",$M5&lt;&gt;"Hoàn tất",$M5&lt;&gt;"Loại có lý do")</formula>
    </cfRule>
  </conditionalFormatting>
  <dataValidations count="5">
    <dataValidation sqref="F5:F1000" showDropDown="0" showInputMessage="0" showErrorMessage="0" allowBlank="1" errorTitle="Giá trị không hợp lệ" error="Vui lòng chọn một giá trị trong danh sách." promptTitle="Trường chuẩn hóa" prompt="Chọn từ danh sách." type="list">
      <formula1>=SourceType</formula1>
    </dataValidation>
    <dataValidation sqref="J5:J1000" showDropDown="0" showInputMessage="0" showErrorMessage="0" allowBlank="1" errorTitle="Giá trị không hợp lệ" error="Vui lòng chọn một giá trị trong danh sách." promptTitle="Trường chuẩn hóa" prompt="Chọn từ danh sách." type="list">
      <formula1>=YesNo</formula1>
    </dataValidation>
    <dataValidation sqref="K5:K1000" showDropDown="0" showInputMessage="0" showErrorMessage="0" allowBlank="1" errorTitle="Giá trị không hợp lệ" error="Vui lòng chọn một giá trị trong danh sách." promptTitle="Trường chuẩn hóa" prompt="Chọn từ danh sách." type="list">
      <formula1>=ScopeStatus</formula1>
    </dataValidation>
    <dataValidation sqref="L5:L1000" showDropDown="0" showInputMessage="0" showErrorMessage="0" allowBlank="1" errorTitle="Giá trị không hợp lệ" error="Vui lòng chọn một giá trị trong danh sách." promptTitle="Trường chuẩn hóa" prompt="Chọn từ danh sách." type="list">
      <formula1>=Priority</formula1>
    </dataValidation>
    <dataValidation sqref="M5:M1000" showDropDown="0" showInputMessage="0" showErrorMessage="0" allowBlank="1" errorTitle="Giá trị không hợp lệ" error="Vui lòng chọn một giá trị trong danh sách." promptTitle="Trường chuẩn hóa" prompt="Chọn từ danh sách." type="list">
      <formula1>=InboxStatus</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X5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3" customWidth="1" min="3" max="3"/>
    <col width="14" customWidth="1" min="4" max="4"/>
    <col width="36" customWidth="1" min="5" max="5"/>
    <col width="55" customWidth="1" min="6" max="6"/>
    <col width="18" customWidth="1" min="7" max="7"/>
    <col width="24" customWidth="1" min="8" max="8"/>
    <col width="32" customWidth="1" min="9" max="9"/>
    <col width="27" customWidth="1" min="10" max="10"/>
    <col width="20" customWidth="1" min="11" max="11"/>
    <col width="21" customWidth="1" min="12" max="12"/>
    <col width="21" customWidth="1" min="13" max="13"/>
    <col width="16" customWidth="1" min="14" max="14"/>
    <col width="36" customWidth="1" min="15" max="15"/>
    <col width="21" customWidth="1" min="16" max="16"/>
    <col width="16" customWidth="1" min="17" max="17"/>
    <col width="16" customWidth="1" min="18" max="18"/>
    <col width="22" customWidth="1" min="19" max="19"/>
    <col width="18" customWidth="1" min="20" max="20"/>
    <col width="18" customWidth="1" min="21" max="21"/>
    <col width="18" customWidth="1" min="22" max="22"/>
    <col width="16" customWidth="1" min="23" max="23"/>
    <col width="35" customWidth="1" min="24" max="24"/>
  </cols>
  <sheetData>
    <row r="1" ht="28" customHeight="1">
      <c r="A1" s="1" t="inlineStr">
        <is>
          <t>THEO DÕI EVIDENCE UPDATE CARDS</t>
        </is>
      </c>
    </row>
    <row r="2" ht="34" customHeight="1">
      <c r="A2" s="2" t="inlineStr">
        <is>
          <t>Chỉ đánh dấu ĐÃ DUYỆT khi đã có bác sĩ chuyên ngành; mọi thay đổi pathway/phác đồ phải đi qua cơ chế phê duyệt của cơ sở.</t>
        </is>
      </c>
    </row>
    <row r="4" ht="38" customHeight="1">
      <c r="A4" s="3" t="inlineStr">
        <is>
          <t>Mã phiếu</t>
        </is>
      </c>
      <c r="B4" s="3" t="inlineStr">
        <is>
          <t>Mã tín hiệu</t>
        </is>
      </c>
      <c r="C4" s="3" t="inlineStr">
        <is>
          <t>Mã dự án</t>
        </is>
      </c>
      <c r="D4" s="3" t="inlineStr">
        <is>
          <t>Mã câu hỏi</t>
        </is>
      </c>
      <c r="E4" s="3" t="inlineStr">
        <is>
          <t>Tiêu đề</t>
        </is>
      </c>
      <c r="F4" s="3" t="inlineStr">
        <is>
          <t>Kết luận một câu</t>
        </is>
      </c>
      <c r="G4" s="3" t="inlineStr">
        <is>
          <t>Nguy cơ sai lệch</t>
        </is>
      </c>
      <c r="H4" s="3" t="inlineStr">
        <is>
          <t>Nguồn mức chắc chắn</t>
        </is>
      </c>
      <c r="I4" s="3" t="inlineStr">
        <is>
          <t>Khả năng áp dụng VN</t>
        </is>
      </c>
      <c r="J4" s="3" t="inlineStr">
        <is>
          <t>Quyết định</t>
        </is>
      </c>
      <c r="K4" s="3" t="inlineStr">
        <is>
          <t>Người soạn</t>
        </is>
      </c>
      <c r="L4" s="3" t="inlineStr">
        <is>
          <t>Duyệt lâm sàng</t>
        </is>
      </c>
      <c r="M4" s="3" t="inlineStr">
        <is>
          <t>Duyệt phương pháp</t>
        </is>
      </c>
      <c r="N4" s="3" t="inlineStr">
        <is>
          <t>Ngày quyết định</t>
        </is>
      </c>
      <c r="O4" s="3" t="inlineStr">
        <is>
          <t>Hành động</t>
        </is>
      </c>
      <c r="P4" s="3" t="inlineStr">
        <is>
          <t>Người phụ trách</t>
        </is>
      </c>
      <c r="Q4" s="3" t="inlineStr">
        <is>
          <t>Hạn hành động</t>
        </is>
      </c>
      <c r="R4" s="3" t="inlineStr">
        <is>
          <t>Ngày rà soát lại</t>
        </is>
      </c>
      <c r="S4" s="3" t="inlineStr">
        <is>
          <t>Trạng thái</t>
        </is>
      </c>
      <c r="T4" s="3" t="inlineStr">
        <is>
          <t>Nguồn xác minh</t>
        </is>
      </c>
      <c r="U4" s="3" t="inlineStr">
        <is>
          <t>An toàn đã kiểm</t>
        </is>
      </c>
      <c r="V4" s="3" t="inlineStr">
        <is>
          <t>Bối cảnh đã kiểm</t>
        </is>
      </c>
      <c r="W4" s="3" t="inlineStr">
        <is>
          <t>Ngày phát hành</t>
        </is>
      </c>
      <c r="X4" s="3" t="inlineStr">
        <is>
          <t>Ghi chú</t>
        </is>
      </c>
    </row>
    <row r="5">
      <c r="A5" s="15" t="inlineStr">
        <is>
          <t>EU-CARD-BL-2026-001</t>
        </is>
      </c>
      <c r="B5" s="15" t="inlineStr">
        <is>
          <t>SIG-CARD-2026-001</t>
        </is>
      </c>
      <c r="C5" s="15" t="inlineStr">
        <is>
          <t>PRJ-CARD</t>
        </is>
      </c>
      <c r="D5" s="15" t="inlineStr">
        <is>
          <t>Q-CARD-01</t>
        </is>
      </c>
      <c r="E5" s="15" t="inlineStr">
        <is>
          <t>Baseline DRAFT — 2024 ESC Guidelines for the management of elevated blood pressure and hypertension</t>
        </is>
      </c>
      <c r="F5" s="15" t="inlineStr">
        <is>
          <t>Nguồn chính thức và metadata đã được xác lập làm baseline DRAFT; chưa có quyết định thay đổi thực hành.</t>
        </is>
      </c>
      <c r="G5" s="15" t="inlineStr">
        <is>
          <t>CHƯA ĐÁNH GIÁ — không tự gán GRADE</t>
        </is>
      </c>
      <c r="H5" s="15" t="inlineStr">
        <is>
          <t>Guideline chính thức; độ chắc chắn/chất lượng cần người có thẩm quyền đánh giá</t>
        </is>
      </c>
      <c r="I5" s="15" t="inlineStr">
        <is>
          <t>Cần đối chiếu Bộ Y tế, nguồn lực và khả năng triển khai tại Việt Nam</t>
        </is>
      </c>
      <c r="J5" s="15" t="inlineStr">
        <is>
          <t>WATCH</t>
        </is>
      </c>
      <c r="K5" s="15" t="inlineStr">
        <is>
          <t>AI hỗ trợ — DRAFT</t>
        </is>
      </c>
      <c r="L5" s="15" t="n"/>
      <c r="M5" s="15" t="n"/>
      <c r="N5" s="15" t="n"/>
      <c r="O5" s="15" t="inlineStr">
        <is>
          <t>Chờ duyệt baseline</t>
        </is>
      </c>
      <c r="P5" s="15" t="inlineStr">
        <is>
          <t>Người dùng — tự phụ trách</t>
        </is>
      </c>
      <c r="Q5" s="41" t="n">
        <v>46272</v>
      </c>
      <c r="R5" s="41" t="n">
        <v>46370</v>
      </c>
      <c r="S5" s="15" t="inlineStr">
        <is>
          <t>DRAFT — CHƯA DUYỆT</t>
        </is>
      </c>
      <c r="T5" s="15" t="inlineStr">
        <is>
          <t>Đã xác minh</t>
        </is>
      </c>
      <c r="U5" s="15" t="inlineStr">
        <is>
          <t>Chưa xác minh</t>
        </is>
      </c>
      <c r="V5" s="15" t="inlineStr">
        <is>
          <t>Chưa xác minh</t>
        </is>
      </c>
      <c r="W5" s="15" t="n"/>
      <c r="X5" s="15" t="inlineStr">
        <is>
          <t>Không tự đổi thực hành; không tự gán GRADE; không lưu PII.</t>
        </is>
      </c>
    </row>
    <row r="6">
      <c r="A6" s="15" t="inlineStr">
        <is>
          <t>EU-CARD-BL-2026-002</t>
        </is>
      </c>
      <c r="B6" s="15" t="inlineStr">
        <is>
          <t>SIG-CARD-2026-002</t>
        </is>
      </c>
      <c r="C6" s="15" t="inlineStr">
        <is>
          <t>PRJ-CARD</t>
        </is>
      </c>
      <c r="D6" s="15" t="inlineStr">
        <is>
          <t>Q-CARD-02</t>
        </is>
      </c>
      <c r="E6" s="15" t="inlineStr">
        <is>
          <t>Baseline DRAFT — 2025 Focused Update of the 2019 ESC/EAS Guidelines for dyslipidaemias</t>
        </is>
      </c>
      <c r="F6" s="15" t="inlineStr">
        <is>
          <t>Nguồn chính thức và metadata đã được xác lập làm baseline DRAFT; chưa có quyết định thay đổi thực hành.</t>
        </is>
      </c>
      <c r="G6" s="15" t="inlineStr">
        <is>
          <t>CHƯA ĐÁNH GIÁ — không tự gán GRADE</t>
        </is>
      </c>
      <c r="H6" s="15" t="inlineStr">
        <is>
          <t>Guideline chính thức; độ chắc chắn/chất lượng cần người có thẩm quyền đánh giá</t>
        </is>
      </c>
      <c r="I6" s="15" t="inlineStr">
        <is>
          <t>Cần đối chiếu Bộ Y tế, nguồn lực và khả năng triển khai tại Việt Nam</t>
        </is>
      </c>
      <c r="J6" s="15" t="inlineStr">
        <is>
          <t>WATCH</t>
        </is>
      </c>
      <c r="K6" s="15" t="inlineStr">
        <is>
          <t>AI hỗ trợ — DRAFT</t>
        </is>
      </c>
      <c r="L6" s="15" t="n"/>
      <c r="M6" s="15" t="n"/>
      <c r="N6" s="15" t="n"/>
      <c r="O6" s="15" t="inlineStr">
        <is>
          <t>Chờ duyệt baseline</t>
        </is>
      </c>
      <c r="P6" s="15" t="inlineStr">
        <is>
          <t>Người dùng — tự phụ trách</t>
        </is>
      </c>
      <c r="Q6" s="41" t="n">
        <v>46272</v>
      </c>
      <c r="R6" s="41" t="n">
        <v>46370</v>
      </c>
      <c r="S6" s="15" t="inlineStr">
        <is>
          <t>DRAFT — CHƯA DUYỆT</t>
        </is>
      </c>
      <c r="T6" s="15" t="inlineStr">
        <is>
          <t>Đã xác minh</t>
        </is>
      </c>
      <c r="U6" s="15" t="inlineStr">
        <is>
          <t>Chưa xác minh</t>
        </is>
      </c>
      <c r="V6" s="15" t="inlineStr">
        <is>
          <t>Chưa xác minh</t>
        </is>
      </c>
      <c r="W6" s="15" t="n"/>
      <c r="X6" s="15" t="inlineStr">
        <is>
          <t>Không tự đổi thực hành; không tự gán GRADE; không lưu PII.</t>
        </is>
      </c>
    </row>
    <row r="7">
      <c r="A7" s="15" t="inlineStr">
        <is>
          <t>EU-CARD-BL-2026-003</t>
        </is>
      </c>
      <c r="B7" s="15" t="inlineStr">
        <is>
          <t>SIG-CARD-2026-003</t>
        </is>
      </c>
      <c r="C7" s="15" t="inlineStr">
        <is>
          <t>PRJ-CARD</t>
        </is>
      </c>
      <c r="D7" s="15" t="inlineStr">
        <is>
          <t>Q-CARD-03</t>
        </is>
      </c>
      <c r="E7" s="15" t="inlineStr">
        <is>
          <t>Baseline DRAFT — 2024 ESC Guidelines for the management of atrial fibrillation</t>
        </is>
      </c>
      <c r="F7" s="15" t="inlineStr">
        <is>
          <t>Nguồn chính thức và metadata đã được xác lập làm baseline DRAFT; chưa có quyết định thay đổi thực hành.</t>
        </is>
      </c>
      <c r="G7" s="15" t="inlineStr">
        <is>
          <t>CHƯA ĐÁNH GIÁ — không tự gán GRADE</t>
        </is>
      </c>
      <c r="H7" s="15" t="inlineStr">
        <is>
          <t>Guideline chính thức; độ chắc chắn/chất lượng cần người có thẩm quyền đánh giá</t>
        </is>
      </c>
      <c r="I7" s="15" t="inlineStr">
        <is>
          <t>Cần đối chiếu Bộ Y tế, nguồn lực và khả năng triển khai tại Việt Nam</t>
        </is>
      </c>
      <c r="J7" s="15" t="inlineStr">
        <is>
          <t>WATCH</t>
        </is>
      </c>
      <c r="K7" s="15" t="inlineStr">
        <is>
          <t>AI hỗ trợ — DRAFT</t>
        </is>
      </c>
      <c r="L7" s="15" t="n"/>
      <c r="M7" s="15" t="n"/>
      <c r="N7" s="15" t="n"/>
      <c r="O7" s="15" t="inlineStr">
        <is>
          <t>Chờ duyệt baseline</t>
        </is>
      </c>
      <c r="P7" s="15" t="inlineStr">
        <is>
          <t>Người dùng — tự phụ trách</t>
        </is>
      </c>
      <c r="Q7" s="41" t="n">
        <v>46272</v>
      </c>
      <c r="R7" s="41" t="n">
        <v>46370</v>
      </c>
      <c r="S7" s="15" t="inlineStr">
        <is>
          <t>DRAFT — CHƯA DUYỆT</t>
        </is>
      </c>
      <c r="T7" s="15" t="inlineStr">
        <is>
          <t>Đã xác minh</t>
        </is>
      </c>
      <c r="U7" s="15" t="inlineStr">
        <is>
          <t>Chưa xác minh</t>
        </is>
      </c>
      <c r="V7" s="15" t="inlineStr">
        <is>
          <t>Chưa xác minh</t>
        </is>
      </c>
      <c r="W7" s="15" t="n"/>
      <c r="X7" s="15" t="inlineStr">
        <is>
          <t>Không tự đổi thực hành; không tự gán GRADE; không lưu PII.</t>
        </is>
      </c>
    </row>
    <row r="8">
      <c r="A8" s="15" t="inlineStr">
        <is>
          <t>EU-CARD-BL-2026-004</t>
        </is>
      </c>
      <c r="B8" s="15" t="inlineStr">
        <is>
          <t>SIG-CARD-2026-004</t>
        </is>
      </c>
      <c r="C8" s="15" t="inlineStr">
        <is>
          <t>PRJ-CARD</t>
        </is>
      </c>
      <c r="D8" s="15" t="inlineStr">
        <is>
          <t>Q-CARD-04</t>
        </is>
      </c>
      <c r="E8" s="15" t="inlineStr">
        <is>
          <t>Baseline DRAFT — 2024 ESC Guidelines for the management of chronic coronary syndromes</t>
        </is>
      </c>
      <c r="F8" s="15" t="inlineStr">
        <is>
          <t>Nguồn chính thức và metadata đã được xác lập làm baseline DRAFT; chưa có quyết định thay đổi thực hành.</t>
        </is>
      </c>
      <c r="G8" s="15" t="inlineStr">
        <is>
          <t>CHƯA ĐÁNH GIÁ — không tự gán GRADE</t>
        </is>
      </c>
      <c r="H8" s="15" t="inlineStr">
        <is>
          <t>Guideline chính thức; độ chắc chắn/chất lượng cần người có thẩm quyền đánh giá</t>
        </is>
      </c>
      <c r="I8" s="15" t="inlineStr">
        <is>
          <t>Cần đối chiếu Bộ Y tế, nguồn lực và khả năng triển khai tại Việt Nam</t>
        </is>
      </c>
      <c r="J8" s="15" t="inlineStr">
        <is>
          <t>WATCH</t>
        </is>
      </c>
      <c r="K8" s="15" t="inlineStr">
        <is>
          <t>AI hỗ trợ — DRAFT</t>
        </is>
      </c>
      <c r="L8" s="15" t="n"/>
      <c r="M8" s="15" t="n"/>
      <c r="N8" s="15" t="n"/>
      <c r="O8" s="15" t="inlineStr">
        <is>
          <t>Chờ duyệt baseline</t>
        </is>
      </c>
      <c r="P8" s="15" t="inlineStr">
        <is>
          <t>Người dùng — tự phụ trách</t>
        </is>
      </c>
      <c r="Q8" s="41" t="n">
        <v>46272</v>
      </c>
      <c r="R8" s="41" t="n">
        <v>46370</v>
      </c>
      <c r="S8" s="15" t="inlineStr">
        <is>
          <t>DRAFT — CHƯA DUYỆT</t>
        </is>
      </c>
      <c r="T8" s="15" t="inlineStr">
        <is>
          <t>Đã xác minh</t>
        </is>
      </c>
      <c r="U8" s="15" t="inlineStr">
        <is>
          <t>Chưa xác minh</t>
        </is>
      </c>
      <c r="V8" s="15" t="inlineStr">
        <is>
          <t>Chưa xác minh</t>
        </is>
      </c>
      <c r="W8" s="15" t="n"/>
      <c r="X8" s="15" t="inlineStr">
        <is>
          <t>Không tự đổi thực hành; không tự gán GRADE; không lưu PII.</t>
        </is>
      </c>
    </row>
    <row r="9">
      <c r="A9" s="15" t="inlineStr">
        <is>
          <t>EU-CARD-BL-2026-005</t>
        </is>
      </c>
      <c r="B9" s="15" t="inlineStr">
        <is>
          <t>SIG-CARD-2026-005</t>
        </is>
      </c>
      <c r="C9" s="15" t="inlineStr">
        <is>
          <t>PRJ-CARD</t>
        </is>
      </c>
      <c r="D9" s="15" t="inlineStr">
        <is>
          <t>Q-CARD-05</t>
        </is>
      </c>
      <c r="E9" s="15" t="inlineStr">
        <is>
          <t>Baseline DRAFT — 2023 Focused Update of the 2021 ESC Guidelines for heart failure</t>
        </is>
      </c>
      <c r="F9" s="15" t="inlineStr">
        <is>
          <t>Nguồn chính thức và metadata đã được xác lập làm baseline DRAFT; chưa có quyết định thay đổi thực hành.</t>
        </is>
      </c>
      <c r="G9" s="15" t="inlineStr">
        <is>
          <t>CHƯA ĐÁNH GIÁ — không tự gán GRADE</t>
        </is>
      </c>
      <c r="H9" s="15" t="inlineStr">
        <is>
          <t>Guideline chính thức; độ chắc chắn/chất lượng cần người có thẩm quyền đánh giá</t>
        </is>
      </c>
      <c r="I9" s="15" t="inlineStr">
        <is>
          <t>Cần đối chiếu Bộ Y tế, nguồn lực và khả năng triển khai tại Việt Nam</t>
        </is>
      </c>
      <c r="J9" s="15" t="inlineStr">
        <is>
          <t>WATCH</t>
        </is>
      </c>
      <c r="K9" s="15" t="inlineStr">
        <is>
          <t>AI hỗ trợ — DRAFT</t>
        </is>
      </c>
      <c r="L9" s="15" t="n"/>
      <c r="M9" s="15" t="n"/>
      <c r="N9" s="15" t="n"/>
      <c r="O9" s="15" t="inlineStr">
        <is>
          <t>Chờ duyệt baseline</t>
        </is>
      </c>
      <c r="P9" s="15" t="inlineStr">
        <is>
          <t>Người dùng — tự phụ trách</t>
        </is>
      </c>
      <c r="Q9" s="41" t="n">
        <v>46272</v>
      </c>
      <c r="R9" s="41" t="n">
        <v>46370</v>
      </c>
      <c r="S9" s="15" t="inlineStr">
        <is>
          <t>DRAFT — CHƯA DUYỆT</t>
        </is>
      </c>
      <c r="T9" s="15" t="inlineStr">
        <is>
          <t>Đã xác minh</t>
        </is>
      </c>
      <c r="U9" s="15" t="inlineStr">
        <is>
          <t>Chưa xác minh</t>
        </is>
      </c>
      <c r="V9" s="15" t="inlineStr">
        <is>
          <t>Chưa xác minh</t>
        </is>
      </c>
      <c r="W9" s="15" t="n"/>
      <c r="X9" s="15" t="inlineStr">
        <is>
          <t>Không tự đổi thực hành; không tự gán GRADE; không lưu PII.</t>
        </is>
      </c>
    </row>
    <row r="10">
      <c r="A10" s="15" t="inlineStr">
        <is>
          <t>EU-CARD-BL-2026-006</t>
        </is>
      </c>
      <c r="B10" s="15" t="inlineStr">
        <is>
          <t>SIG-CARD-2026-006</t>
        </is>
      </c>
      <c r="C10" s="15" t="inlineStr">
        <is>
          <t>PRJ-CARD</t>
        </is>
      </c>
      <c r="D10" s="15" t="inlineStr">
        <is>
          <t>Q-CARD-06</t>
        </is>
      </c>
      <c r="E10" s="15" t="inlineStr">
        <is>
          <t>Baseline DRAFT — 2018 ESC Guidelines for the diagnosis and management of syncope</t>
        </is>
      </c>
      <c r="F10" s="15" t="inlineStr">
        <is>
          <t>Nguồn chính thức và metadata đã được xác lập làm baseline DRAFT; chưa có quyết định thay đổi thực hành.</t>
        </is>
      </c>
      <c r="G10" s="15" t="inlineStr">
        <is>
          <t>CHƯA ĐÁNH GIÁ — không tự gán GRADE</t>
        </is>
      </c>
      <c r="H10" s="15" t="inlineStr">
        <is>
          <t>Guideline chính thức; độ chắc chắn/chất lượng cần người có thẩm quyền đánh giá</t>
        </is>
      </c>
      <c r="I10" s="15" t="inlineStr">
        <is>
          <t>Cần đối chiếu Bộ Y tế, nguồn lực và khả năng triển khai tại Việt Nam</t>
        </is>
      </c>
      <c r="J10" s="15" t="inlineStr">
        <is>
          <t>WATCH</t>
        </is>
      </c>
      <c r="K10" s="15" t="inlineStr">
        <is>
          <t>AI hỗ trợ — DRAFT</t>
        </is>
      </c>
      <c r="L10" s="15" t="n"/>
      <c r="M10" s="15" t="n"/>
      <c r="N10" s="15" t="n"/>
      <c r="O10" s="15" t="inlineStr">
        <is>
          <t>Chờ duyệt baseline</t>
        </is>
      </c>
      <c r="P10" s="15" t="inlineStr">
        <is>
          <t>Người dùng — tự phụ trách</t>
        </is>
      </c>
      <c r="Q10" s="41" t="n">
        <v>46272</v>
      </c>
      <c r="R10" s="41" t="n">
        <v>46370</v>
      </c>
      <c r="S10" s="15" t="inlineStr">
        <is>
          <t>DRAFT — CHƯA DUYỆT</t>
        </is>
      </c>
      <c r="T10" s="15" t="inlineStr">
        <is>
          <t>Đã xác minh</t>
        </is>
      </c>
      <c r="U10" s="15" t="inlineStr">
        <is>
          <t>Chưa xác minh</t>
        </is>
      </c>
      <c r="V10" s="15" t="inlineStr">
        <is>
          <t>Chưa xác minh</t>
        </is>
      </c>
      <c r="W10" s="15" t="n"/>
      <c r="X10" s="15" t="inlineStr">
        <is>
          <t>Không tự đổi thực hành; không tự gán GRADE; không lưu PII.</t>
        </is>
      </c>
    </row>
    <row r="11">
      <c r="A11" s="15" t="inlineStr">
        <is>
          <t>EU-CARD-2026-007</t>
        </is>
      </c>
      <c r="B11" s="15" t="inlineStr">
        <is>
          <t>SIG-CARD-2026-007</t>
        </is>
      </c>
      <c r="C11" s="15" t="inlineStr">
        <is>
          <t>PRJ-CARD</t>
        </is>
      </c>
      <c r="D11" s="15" t="inlineStr">
        <is>
          <t>Q-CARD-05</t>
        </is>
      </c>
      <c r="E11" s="15" t="inlineStr">
        <is>
          <t>ESC Heart Failure 2026 — cập nhật nguồn và yêu cầu thẩm định kết cục</t>
        </is>
      </c>
      <c r="F11" s="15" t="inlineStr">
        <is>
          <t>ESC 2026 đã thay nguồn guideline mới nhất; cần đối chiếu thay đổi phân loại, kết cục, an toàn và khả năng áp dụng trước mọi quyết định thực hành.</t>
        </is>
      </c>
      <c r="G11" s="15" t="inlineStr">
        <is>
          <t>CHƯA ĐÁNH GIÁ — không tự gán GRADE</t>
        </is>
      </c>
      <c r="H11" s="15" t="inlineStr">
        <is>
          <t>Guideline chính thức; độ chắc chắn theo từng kết cục cần thẩm định từ bảng chứng cứ và nguồn nền</t>
        </is>
      </c>
      <c r="I11" s="15" t="inlineStr">
        <is>
          <t>Cần đối chiếu Bộ Y tế, khả dụng thuốc/xét nghiệm, năng lực theo dõi và chi phí tại Việt Nam</t>
        </is>
      </c>
      <c r="J11" s="15" t="inlineStr">
        <is>
          <t>UPDATE SUMMARY</t>
        </is>
      </c>
      <c r="K11" s="15" t="inlineStr">
        <is>
          <t>AI hỗ trợ — DRAFT</t>
        </is>
      </c>
      <c r="L11" s="15" t="n"/>
      <c r="M11" s="15" t="n"/>
      <c r="N11" s="15" t="n"/>
      <c r="O11" s="15" t="inlineStr">
        <is>
          <t>Đối chiếu ESC 2026 với 2021/2023 theo kết cục, tác hại và yêu cầu triển khai</t>
        </is>
      </c>
      <c r="P11" s="15" t="inlineStr">
        <is>
          <t>Người dùng — tự phụ trách</t>
        </is>
      </c>
      <c r="Q11" s="42" t="n">
        <v>46296</v>
      </c>
      <c r="R11" s="42" t="n">
        <v>46370</v>
      </c>
      <c r="S11" s="15" t="inlineStr">
        <is>
          <t>DRAFT — CHƯA DUYỆT</t>
        </is>
      </c>
      <c r="T11" s="15" t="inlineStr">
        <is>
          <t>Đã xác minh nguồn/DOI; PMID chưa thấy chỉ mục</t>
        </is>
      </c>
      <c r="U11" s="15" t="inlineStr">
        <is>
          <t>Chưa xác minh</t>
        </is>
      </c>
      <c r="V11" s="15" t="inlineStr">
        <is>
          <t>Chưa xác minh</t>
        </is>
      </c>
      <c r="W11" s="15" t="n"/>
      <c r="X11" s="15" t="inlineStr">
        <is>
          <t>Không tự đổi thuốc/liều/pathway; không lưu PII.</t>
        </is>
      </c>
    </row>
    <row r="12">
      <c r="A12" s="15" t="inlineStr">
        <is>
          <t>EU-ENDO-BL-2026-001</t>
        </is>
      </c>
      <c r="B12" s="15" t="inlineStr">
        <is>
          <t>PRJ-ENDO</t>
        </is>
      </c>
      <c r="C12" s="15" t="inlineStr">
        <is>
          <t>Q-ENDO-01</t>
        </is>
      </c>
      <c r="D12" s="15" t="inlineStr">
        <is>
          <t>SIG-ENDO-2026-001</t>
        </is>
      </c>
      <c r="E12" s="43" t="n">
        <v>46272</v>
      </c>
      <c r="F12" s="15" t="inlineStr">
        <is>
          <t>Đánh giá ban đầu</t>
        </is>
      </c>
      <c r="G12" s="15" t="inlineStr">
        <is>
          <t>Baseline 2026 chưa có dữ liệu cấu trúc</t>
        </is>
      </c>
      <c r="H12" s="15" t="inlineStr">
        <is>
          <t>DRAFT — CHƯA DUYỆT: Có thể dùng FPG, HbA1c hoặc OGTT theo tiêu chuẩn ADA 2026; HbA1c 5,7–6,4%, FPG 100–125 mg/dL hoặc 2-h PG 140–199 mg/dL xác định tiền đái tháo đường. Nếu không có triệu chứng/tình trạng tăng đường huyết rõ, cần hai kết quả bất thường để xác nhận đái tháo đường. CGM chưa đủ để chẩn đoán. Trong DPP, lối sống giảm nguy cơ tương đối 58% và metformin 31% so với giả dược; NNT 3 năm lần lượt khoảng 6,9 và 13,9 ở quần thể nguy cơ cao của nghiên cứu.</t>
        </is>
      </c>
      <c r="I12" s="15" t="inlineStr">
        <is>
          <t>Xem cột Outcomes và báo cáo Word; khi chưa có ARR/NNT phù hợp ghi rõ CHƯA TRÍCH XUẤT.</t>
        </is>
      </c>
      <c r="J12" s="15" t="inlineStr">
        <is>
          <t>Kết quả DPP không tự động áp dụng cho mọi người có tiền đái tháo đường; cần đối chiếu nguy cơ, khả năng tham gia lối sống và chống chỉ định. [CẦN BÁC SĨ PHÁN ĐỊNH]</t>
        </is>
      </c>
      <c r="K12" s="15" t="inlineStr">
        <is>
          <t>Có điều kiện — phụ thuộc quần thể, nguy cơ, thuốc và nguồn lực địa phương.</t>
        </is>
      </c>
      <c r="L12" s="15" t="inlineStr">
        <is>
          <t>Không áp dụng cho cấp cứu, thai kỳ hoặc quần thể ngoài tiêu chí nguồn nếu chưa thẩm định.</t>
        </is>
      </c>
      <c r="M12" s="15" t="inlineStr">
        <is>
          <t>Guideline chính thức và RCT hỗ trợ khi có; CHƯA đánh giá GRADE độc lập.</t>
        </is>
      </c>
      <c r="N12" s="15" t="inlineStr">
        <is>
          <t>Có thể tăng tải xét nghiệm/giáo dục/chuyển tuyến; cần xác định khả năng cung ứng.</t>
        </is>
      </c>
      <c r="O12" s="15" t="inlineStr">
        <is>
          <t>WATCH</t>
        </is>
      </c>
      <c r="P12" s="15" t="inlineStr">
        <is>
          <t>Giữ nguyên thực hành hiện tại cho đến khi bác sĩ duyệt.</t>
        </is>
      </c>
      <c r="Q12" s="15" t="inlineStr">
        <is>
          <t>Người dùng — Trưởng chuyên ngành Nội tiết</t>
        </is>
      </c>
      <c r="R12" s="15" t="inlineStr">
        <is>
          <t>Người dùng — phụ trách phương pháp</t>
        </is>
      </c>
      <c r="S12" s="15" t="inlineStr">
        <is>
          <t>Người dùng — Chủ Chương trình</t>
        </is>
      </c>
      <c r="T12" s="15" t="inlineStr">
        <is>
          <t>Chưa yêu cầu phê duyệt thay đổi</t>
        </is>
      </c>
      <c r="U12" s="43" t="n">
        <v>46272</v>
      </c>
      <c r="V12" s="43" t="n">
        <v>46302</v>
      </c>
      <c r="W12" s="15" t="inlineStr">
        <is>
          <t>DRAFT — CHƯA DUYỆT</t>
        </is>
      </c>
      <c r="X12" s="15" t="inlineStr">
        <is>
          <t>Không tự đổi thực hành; không tự gán GRADE; không lưu PII.</t>
        </is>
      </c>
    </row>
    <row r="13">
      <c r="A13" s="15" t="inlineStr">
        <is>
          <t>EU-ENDO-BL-2026-002</t>
        </is>
      </c>
      <c r="B13" s="15" t="inlineStr">
        <is>
          <t>PRJ-ENDO</t>
        </is>
      </c>
      <c r="C13" s="15" t="inlineStr">
        <is>
          <t>Q-ENDO-02</t>
        </is>
      </c>
      <c r="D13" s="15" t="inlineStr">
        <is>
          <t>SIG-ENDO-2026-002</t>
        </is>
      </c>
      <c r="E13" s="43" t="n">
        <v>46272</v>
      </c>
      <c r="F13" s="15" t="inlineStr">
        <is>
          <t>Đánh giá ban đầu</t>
        </is>
      </c>
      <c r="G13" s="15" t="inlineStr">
        <is>
          <t>Baseline 2026 chưa có dữ liệu cấu trúc</t>
        </is>
      </c>
      <c r="H13" s="15" t="inlineStr">
        <is>
          <t>DRAFT — CHƯA DUYỆT: HbA1c &lt;7% phù hợp cho nhiều người lớn không mang thai nếu đạt được an toàn; mục tiêu phải nới lỏng hoặc giảm cường độ khi nguy cơ hạ đường huyết, suy yếu, suy giảm nhận thức/chức năng hay gánh nặng điều trị cao. Không dùng mục tiêu gần bình thường một cách cứng nhắc: ACCORD không giảm có ý nghĩa kết cục tim mạch chính (HR 0,90; KTC 95% 0,78–1,04) nhưng tăng tử vong (HR 1,22; KTC 95% 1,01–1,46) và tăng hạ đường huyết/tăng cân ở nhóm T2D nguy cơ tim mạch cao.</t>
        </is>
      </c>
      <c r="I13" s="15" t="inlineStr">
        <is>
          <t>Xem cột Outcomes và báo cáo Word; khi chưa có ARR/NNT phù hợp ghi rõ CHƯA TRÍCH XUẤT.</t>
        </is>
      </c>
      <c r="J13" s="15" t="inlineStr">
        <is>
          <t>Không suy rộng ACCORD sang người mới mắc/nguy cơ thấp; lựa chọn thuốc và mục tiêu là quyết định lâm sàng cá thể hóa. [CẦN BÁC SĨ PHÁN ĐỊNH]</t>
        </is>
      </c>
      <c r="K13" s="15" t="inlineStr">
        <is>
          <t>Có điều kiện — phụ thuộc quần thể, nguy cơ, thuốc và nguồn lực địa phương.</t>
        </is>
      </c>
      <c r="L13" s="15" t="inlineStr">
        <is>
          <t>Không áp dụng cho cấp cứu, thai kỳ hoặc quần thể ngoài tiêu chí nguồn nếu chưa thẩm định.</t>
        </is>
      </c>
      <c r="M13" s="15" t="inlineStr">
        <is>
          <t>Guideline chính thức và RCT hỗ trợ khi có; CHƯA đánh giá GRADE độc lập.</t>
        </is>
      </c>
      <c r="N13" s="15" t="inlineStr">
        <is>
          <t>Có thể tăng tải xét nghiệm/giáo dục/chuyển tuyến; cần xác định khả năng cung ứng.</t>
        </is>
      </c>
      <c r="O13" s="15" t="inlineStr">
        <is>
          <t>WATCH</t>
        </is>
      </c>
      <c r="P13" s="15" t="inlineStr">
        <is>
          <t>Giữ nguyên thực hành hiện tại cho đến khi bác sĩ duyệt.</t>
        </is>
      </c>
      <c r="Q13" s="15" t="inlineStr">
        <is>
          <t>Người dùng — Trưởng chuyên ngành Nội tiết</t>
        </is>
      </c>
      <c r="R13" s="15" t="inlineStr">
        <is>
          <t>Người dùng — phụ trách phương pháp</t>
        </is>
      </c>
      <c r="S13" s="15" t="inlineStr">
        <is>
          <t>Người dùng — Chủ Chương trình</t>
        </is>
      </c>
      <c r="T13" s="15" t="inlineStr">
        <is>
          <t>Chưa yêu cầu phê duyệt thay đổi</t>
        </is>
      </c>
      <c r="U13" s="43" t="n">
        <v>46272</v>
      </c>
      <c r="V13" s="43" t="n">
        <v>46302</v>
      </c>
      <c r="W13" s="15" t="inlineStr">
        <is>
          <t>DRAFT — CHƯA DUYỆT</t>
        </is>
      </c>
      <c r="X13" s="15" t="inlineStr">
        <is>
          <t>Không tự đổi thực hành; không tự gán GRADE; không lưu PII.</t>
        </is>
      </c>
    </row>
    <row r="14">
      <c r="A14" s="15" t="inlineStr">
        <is>
          <t>EU-ENDO-BL-2026-003</t>
        </is>
      </c>
      <c r="B14" s="15" t="inlineStr">
        <is>
          <t>PRJ-ENDO</t>
        </is>
      </c>
      <c r="C14" s="15" t="inlineStr">
        <is>
          <t>Q-ENDO-03</t>
        </is>
      </c>
      <c r="D14" s="15" t="inlineStr">
        <is>
          <t>SIG-ENDO-2026-003</t>
        </is>
      </c>
      <c r="E14" s="43" t="n">
        <v>46272</v>
      </c>
      <c r="F14" s="15" t="inlineStr">
        <is>
          <t>Đánh giá ban đầu</t>
        </is>
      </c>
      <c r="G14" s="15" t="inlineStr">
        <is>
          <t>Baseline 2026 chưa có dữ liệu cấu trúc</t>
        </is>
      </c>
      <c r="H14" s="15" t="inlineStr">
        <is>
          <t>DRAFT — CHƯA DUYỆT: Quản lý béo phì cần ngôn ngữ không kỳ thị, mục tiêu cá thể hóa và đánh giá biến chứng; giảm 5–7% cân nặng thường cải thiện đường huyết/yếu tố nguy cơ trung gian. Trong SELECT, semaglutide 2,4 mg/tuần giảm MACE 6,5% so với 8,0% (HR 0,80; KTC 95% 0,72–0,90; ARR 1,5 điểm %, NNT xấp xỉ 67 trong khoảng 40 tháng), nhưng tăng ngừng điều trị do biến cố bất lợi 16,6% so với 8,2%. Quần thể SELECT có bệnh tim mạch sẵn, BMI ≥27 và không đái tháo đường.</t>
        </is>
      </c>
      <c r="I14" s="15" t="inlineStr">
        <is>
          <t>Xem cột Outcomes và báo cáo Word; khi chưa có ARR/NNT phù hợp ghi rõ CHƯA TRÍCH XUẤT.</t>
        </is>
      </c>
      <c r="J14" s="15" t="inlineStr">
        <is>
          <t>Không suy rộng SELECT cho đái tháo đường hoặc dự phòng tiên phát. Nguồn Obesity Standards 2026 là tín hiệu mới, cần duyệt ngưỡng châu Á/Việt Nam và quy trình triển khai. [CẦN BÁC SĨ PHÁN ĐỊNH]</t>
        </is>
      </c>
      <c r="K14" s="15" t="inlineStr">
        <is>
          <t>Có điều kiện — phụ thuộc quần thể, nguy cơ, thuốc và nguồn lực địa phương.</t>
        </is>
      </c>
      <c r="L14" s="15" t="inlineStr">
        <is>
          <t>Không áp dụng cho cấp cứu, thai kỳ hoặc quần thể ngoài tiêu chí nguồn nếu chưa thẩm định.</t>
        </is>
      </c>
      <c r="M14" s="15" t="inlineStr">
        <is>
          <t>Guideline chính thức và RCT hỗ trợ khi có; CHƯA đánh giá GRADE độc lập.</t>
        </is>
      </c>
      <c r="N14" s="15" t="inlineStr">
        <is>
          <t>Có thể tăng tải xét nghiệm/giáo dục/chuyển tuyến; cần xác định khả năng cung ứng.</t>
        </is>
      </c>
      <c r="O14" s="15" t="inlineStr">
        <is>
          <t>WATCH</t>
        </is>
      </c>
      <c r="P14" s="15" t="inlineStr">
        <is>
          <t>Giữ nguyên thực hành hiện tại cho đến khi bác sĩ duyệt.</t>
        </is>
      </c>
      <c r="Q14" s="15" t="inlineStr">
        <is>
          <t>Người dùng — Trưởng chuyên ngành Nội tiết</t>
        </is>
      </c>
      <c r="R14" s="15" t="inlineStr">
        <is>
          <t>Người dùng — phụ trách phương pháp</t>
        </is>
      </c>
      <c r="S14" s="15" t="inlineStr">
        <is>
          <t>Người dùng — Chủ Chương trình</t>
        </is>
      </c>
      <c r="T14" s="15" t="inlineStr">
        <is>
          <t>Chưa yêu cầu phê duyệt thay đổi</t>
        </is>
      </c>
      <c r="U14" s="43" t="n">
        <v>46272</v>
      </c>
      <c r="V14" s="43" t="n">
        <v>46302</v>
      </c>
      <c r="W14" s="15" t="inlineStr">
        <is>
          <t>DRAFT — CHƯA DUYỆT</t>
        </is>
      </c>
      <c r="X14" s="15" t="inlineStr">
        <is>
          <t>Không tự đổi thực hành; không tự gán GRADE; không lưu PII.</t>
        </is>
      </c>
    </row>
    <row r="15">
      <c r="A15" s="15" t="inlineStr">
        <is>
          <t>EU-ENDO-BL-2026-004</t>
        </is>
      </c>
      <c r="B15" s="15" t="inlineStr">
        <is>
          <t>PRJ-ENDO</t>
        </is>
      </c>
      <c r="C15" s="15" t="inlineStr">
        <is>
          <t>Q-ENDO-04</t>
        </is>
      </c>
      <c r="D15" s="15" t="inlineStr">
        <is>
          <t>SIG-ENDO-2026-004</t>
        </is>
      </c>
      <c r="E15" s="43" t="n">
        <v>46272</v>
      </c>
      <c r="F15" s="15" t="inlineStr">
        <is>
          <t>Đánh giá ban đầu</t>
        </is>
      </c>
      <c r="G15" s="15" t="inlineStr">
        <is>
          <t>Baseline 2026 chưa có dữ liệu cấu trúc</t>
        </is>
      </c>
      <c r="H15" s="15" t="inlineStr">
        <is>
          <t>DRAFT — CHƯA DUYỆT: Dùng NICE NG145 (cập nhật 12/10/2023, rà lại 03/10/2025) cho khung đánh giá/điều trị tuyến giáp và ETA 2023 cho nhân giáp theo nguy cơ. Ở người ≥65 tuổi có suy giáp dưới lâm sàng nhẹ, TRUST không cho thấy levothyroxine cải thiện điểm triệu chứng (khác biệt 0,0; KTC 95% −2,0 đến 2,1) hoặc mệt mỏi (0,4; −2,1 đến 2,9) sau 1 năm. Hướng dẫn ATA cường giáp 2016 phải được đọc cùng các corrigendum 2017 và 2025.</t>
        </is>
      </c>
      <c r="I15" s="15" t="inlineStr">
        <is>
          <t>Xem cột Outcomes và báo cáo Word; khi chưa có ARR/NNT phù hợp ghi rõ CHƯA TRÍCH XUẤT.</t>
        </is>
      </c>
      <c r="J15" s="15" t="inlineStr">
        <is>
          <t>TRUST chỉ áp dụng cho người lớn tuổi với suy giáp dưới lâm sàng nhẹ; không áp dụng cho suy giáp rõ, thai kỳ hoặc TSH rất cao. [CẦN BÁC SĨ PHÁN ĐỊNH]</t>
        </is>
      </c>
      <c r="K15" s="15" t="inlineStr">
        <is>
          <t>Có điều kiện — phụ thuộc quần thể, nguy cơ, thuốc và nguồn lực địa phương.</t>
        </is>
      </c>
      <c r="L15" s="15" t="inlineStr">
        <is>
          <t>Không áp dụng cho cấp cứu, thai kỳ hoặc quần thể ngoài tiêu chí nguồn nếu chưa thẩm định.</t>
        </is>
      </c>
      <c r="M15" s="15" t="inlineStr">
        <is>
          <t>Guideline chính thức và RCT hỗ trợ khi có; CHƯA đánh giá GRADE độc lập.</t>
        </is>
      </c>
      <c r="N15" s="15" t="inlineStr">
        <is>
          <t>Có thể tăng tải xét nghiệm/giáo dục/chuyển tuyến; cần xác định khả năng cung ứng.</t>
        </is>
      </c>
      <c r="O15" s="15" t="inlineStr">
        <is>
          <t>WATCH</t>
        </is>
      </c>
      <c r="P15" s="15" t="inlineStr">
        <is>
          <t>Giữ nguyên thực hành hiện tại cho đến khi bác sĩ duyệt.</t>
        </is>
      </c>
      <c r="Q15" s="15" t="inlineStr">
        <is>
          <t>Người dùng — Trưởng chuyên ngành Nội tiết</t>
        </is>
      </c>
      <c r="R15" s="15" t="inlineStr">
        <is>
          <t>Người dùng — phụ trách phương pháp</t>
        </is>
      </c>
      <c r="S15" s="15" t="inlineStr">
        <is>
          <t>Người dùng — Chủ Chương trình</t>
        </is>
      </c>
      <c r="T15" s="15" t="inlineStr">
        <is>
          <t>Chưa yêu cầu phê duyệt thay đổi</t>
        </is>
      </c>
      <c r="U15" s="43" t="n">
        <v>46272</v>
      </c>
      <c r="V15" s="43" t="n">
        <v>46362</v>
      </c>
      <c r="W15" s="15" t="inlineStr">
        <is>
          <t>DRAFT — CHƯA DUYỆT</t>
        </is>
      </c>
      <c r="X15" s="15" t="inlineStr">
        <is>
          <t>Không tự đổi thực hành; không tự gán GRADE; không lưu PII.</t>
        </is>
      </c>
    </row>
    <row r="16">
      <c r="A16" s="15" t="inlineStr">
        <is>
          <t>EU-ENDO-BL-2026-005</t>
        </is>
      </c>
      <c r="B16" s="15" t="inlineStr">
        <is>
          <t>PRJ-ENDO</t>
        </is>
      </c>
      <c r="C16" s="15" t="inlineStr">
        <is>
          <t>Q-ENDO-05</t>
        </is>
      </c>
      <c r="D16" s="15" t="inlineStr">
        <is>
          <t>SIG-ENDO-2026-005</t>
        </is>
      </c>
      <c r="E16" s="43" t="n">
        <v>46272</v>
      </c>
      <c r="F16" s="15" t="inlineStr">
        <is>
          <t>Đánh giá ban đầu</t>
        </is>
      </c>
      <c r="G16" s="15" t="inlineStr">
        <is>
          <t>Baseline 2026 chưa có dữ liệu cấu trúc</t>
        </is>
      </c>
      <c r="H16" s="15" t="inlineStr">
        <is>
          <t>DRAFT — CHƯA DUYỆT: ADA 2026 đề nghị UACR ngẫu nhiên và eGFR ít nhất hằng năm ở T1 thời gian bệnh ≥5 năm và mọi T2; khám mắt giãn đồng tử ban đầu sau 5 năm ở T1 và tại chẩn đoán ở T2; đánh giá bàn chân toàn diện ít nhất hằng năm, và kiểm tra mỗi lần khám nếu mất cảm giác bảo vệ hoặc tiền sử loét/cắt cụt. Chưa trích xuất được ARR/NNT cho toàn bộ gói sàng lọc; đây là mốc vận hành từ guideline, không phải ước lượng hiệu quả của một thử nghiệm đơn lẻ.</t>
        </is>
      </c>
      <c r="I16" s="15" t="inlineStr">
        <is>
          <t>Xem cột Outcomes và báo cáo Word; khi chưa có ARR/NNT phù hợp ghi rõ CHƯA TRÍCH XUẤT.</t>
        </is>
      </c>
      <c r="J16" s="15" t="inlineStr">
        <is>
          <t>Cần địa phương hóa năng lực chụp đáy mắt, UACR và chuyển tuyến; không biến lịch guideline thành bảo đảm lợi ích tuyệt đối. [CẦN BÁC SĨ PHÁN ĐỊNH]</t>
        </is>
      </c>
      <c r="K16" s="15" t="inlineStr">
        <is>
          <t>Có điều kiện — phụ thuộc quần thể, nguy cơ, thuốc và nguồn lực địa phương.</t>
        </is>
      </c>
      <c r="L16" s="15" t="inlineStr">
        <is>
          <t>Không áp dụng cho cấp cứu, thai kỳ hoặc quần thể ngoài tiêu chí nguồn nếu chưa thẩm định.</t>
        </is>
      </c>
      <c r="M16" s="15" t="inlineStr">
        <is>
          <t>Guideline chính thức và RCT hỗ trợ khi có; CHƯA đánh giá GRADE độc lập.</t>
        </is>
      </c>
      <c r="N16" s="15" t="inlineStr">
        <is>
          <t>Có thể tăng tải xét nghiệm/giáo dục/chuyển tuyến; cần xác định khả năng cung ứng.</t>
        </is>
      </c>
      <c r="O16" s="15" t="inlineStr">
        <is>
          <t>WATCH</t>
        </is>
      </c>
      <c r="P16" s="15" t="inlineStr">
        <is>
          <t>Giữ nguyên thực hành hiện tại cho đến khi bác sĩ duyệt.</t>
        </is>
      </c>
      <c r="Q16" s="15" t="inlineStr">
        <is>
          <t>Người dùng — Trưởng chuyên ngành Nội tiết</t>
        </is>
      </c>
      <c r="R16" s="15" t="inlineStr">
        <is>
          <t>Người dùng — phụ trách phương pháp</t>
        </is>
      </c>
      <c r="S16" s="15" t="inlineStr">
        <is>
          <t>Người dùng — Chủ Chương trình</t>
        </is>
      </c>
      <c r="T16" s="15" t="inlineStr">
        <is>
          <t>Chưa yêu cầu phê duyệt thay đổi</t>
        </is>
      </c>
      <c r="U16" s="43" t="n">
        <v>46272</v>
      </c>
      <c r="V16" s="43" t="n">
        <v>46362</v>
      </c>
      <c r="W16" s="15" t="inlineStr">
        <is>
          <t>DRAFT — CHƯA DUYỆT</t>
        </is>
      </c>
      <c r="X16" s="15" t="inlineStr">
        <is>
          <t>Không tự đổi thực hành; không tự gán GRADE; không lưu PII.</t>
        </is>
      </c>
    </row>
    <row r="17">
      <c r="A17" s="15" t="inlineStr">
        <is>
          <t>EU-ENDO-BL-2026-006</t>
        </is>
      </c>
      <c r="B17" s="15" t="inlineStr">
        <is>
          <t>PRJ-ENDO</t>
        </is>
      </c>
      <c r="C17" s="15" t="inlineStr">
        <is>
          <t>Q-ENDO-06</t>
        </is>
      </c>
      <c r="D17" s="15" t="inlineStr">
        <is>
          <t>SIG-ENDO-2026-006</t>
        </is>
      </c>
      <c r="E17" s="43" t="n">
        <v>46272</v>
      </c>
      <c r="F17" s="15" t="inlineStr">
        <is>
          <t>Đánh giá ban đầu</t>
        </is>
      </c>
      <c r="G17" s="15" t="inlineStr">
        <is>
          <t>Baseline 2026 chưa có dữ liệu cấu trúc</t>
        </is>
      </c>
      <c r="H17" s="15" t="inlineStr">
        <is>
          <t>DRAFT — CHƯA DUYỆT: Rà hạ đường huyết mỗi lần khám; người tỉnh có glucose &lt;70 mg/dL dùng carbohydrate tác dụng nhanh và kiểm tra lại sau 15 phút; glucagon cho người dùng insulin/nguy cơ cao và giáo dục người thân. Khi bệnh cấp cần tăng theo dõi glucose, đo ketone nếu dễ nhiễm ceton và điều chỉnh thuốc theo mất nước/ăn uống/chức năng thận—không có quy tắc ngừng thuốc đồng loạt. Trong WISDM ở người ≥60 tuổi T1, CGM giảm thời gian &lt;70 mg/dL khoảng 27 phút/ngày (KTC 95% 16–40) và ghi nhận hạ đường huyết nặng 1 so với 10 trong 6 tháng.</t>
        </is>
      </c>
      <c r="I17" s="15" t="inlineStr">
        <is>
          <t>Xem cột Outcomes và báo cáo Word; khi chưa có ARR/NNT phù hợp ghi rõ CHƯA TRÍCH XUẤT.</t>
        </is>
      </c>
      <c r="J17" s="15" t="inlineStr">
        <is>
          <t>Kết quả WISDM chỉ hỗ trợ CGM ở người lớn tuổi T1; kế hoạch ngày ốm và ngưỡng cấp cứu phải được bác sĩ phê duyệt theo thuốc/bệnh kèm. [CẦN BÁC SĨ PHÁN ĐỊNH]</t>
        </is>
      </c>
      <c r="K17" s="15" t="inlineStr">
        <is>
          <t>Có điều kiện — phụ thuộc quần thể, nguy cơ, thuốc và nguồn lực địa phương.</t>
        </is>
      </c>
      <c r="L17" s="15" t="inlineStr">
        <is>
          <t>Không áp dụng cho cấp cứu, thai kỳ hoặc quần thể ngoài tiêu chí nguồn nếu chưa thẩm định.</t>
        </is>
      </c>
      <c r="M17" s="15" t="inlineStr">
        <is>
          <t>Guideline chính thức và RCT hỗ trợ khi có; CHƯA đánh giá GRADE độc lập.</t>
        </is>
      </c>
      <c r="N17" s="15" t="inlineStr">
        <is>
          <t>Có thể tăng tải xét nghiệm/giáo dục/chuyển tuyến; cần xác định khả năng cung ứng.</t>
        </is>
      </c>
      <c r="O17" s="15" t="inlineStr">
        <is>
          <t>WATCH</t>
        </is>
      </c>
      <c r="P17" s="15" t="inlineStr">
        <is>
          <t>Giữ nguyên thực hành hiện tại cho đến khi bác sĩ duyệt.</t>
        </is>
      </c>
      <c r="Q17" s="15" t="inlineStr">
        <is>
          <t>Người dùng — Trưởng chuyên ngành Nội tiết</t>
        </is>
      </c>
      <c r="R17" s="15" t="inlineStr">
        <is>
          <t>Người dùng — phụ trách phương pháp</t>
        </is>
      </c>
      <c r="S17" s="15" t="inlineStr">
        <is>
          <t>Người dùng — Chủ Chương trình</t>
        </is>
      </c>
      <c r="T17" s="15" t="inlineStr">
        <is>
          <t>Chưa yêu cầu phê duyệt thay đổi</t>
        </is>
      </c>
      <c r="U17" s="43" t="n">
        <v>46272</v>
      </c>
      <c r="V17" s="43" t="n">
        <v>46362</v>
      </c>
      <c r="W17" s="15" t="inlineStr">
        <is>
          <t>DRAFT — CHƯA DUYỆT</t>
        </is>
      </c>
      <c r="X17" s="15" t="inlineStr">
        <is>
          <t>Không tự đổi thực hành; không tự gán GRADE; không lưu PII.</t>
        </is>
      </c>
    </row>
    <row r="18">
      <c r="A18" s="15" t="inlineStr">
        <is>
          <t>EU-ENDO-2026-007</t>
        </is>
      </c>
      <c r="B18" s="15" t="inlineStr">
        <is>
          <t>PRJ-ENDO</t>
        </is>
      </c>
      <c r="C18" s="15" t="inlineStr">
        <is>
          <t>Q-ENDO-03</t>
        </is>
      </c>
      <c r="D18" s="15" t="inlineStr">
        <is>
          <t>SIG-ENDO-2026-007</t>
        </is>
      </c>
      <c r="E18" s="43" t="n">
        <v>46272</v>
      </c>
      <c r="F18" s="15" t="inlineStr">
        <is>
          <t>Guideline mới</t>
        </is>
      </c>
      <c r="G18" s="15" t="inlineStr">
        <is>
          <t>ADA 2026 Section 8 là baseline</t>
        </is>
      </c>
      <c r="H18" s="15" t="inlineStr">
        <is>
          <t>Xuất hiện Standards of Care in Overweight and Obesity—2026 riêng về sàng lọc/chẩn đoán/phân giai đoạn.</t>
        </is>
      </c>
      <c r="I18" s="15" t="inlineStr">
        <is>
          <t>Chưa có kết cục can thiệp mới được trích trong tín hiệu này; giá trị chính là chuẩn hóa phân loại và staging.</t>
        </is>
      </c>
      <c r="J18" s="15" t="inlineStr">
        <is>
          <t>Có thể làm thay đổi ai được đánh giá vòng eo/BMI và cách ghi nhận biến chứng; cần đối chiếu dân số châu Á/Việt Nam.</t>
        </is>
      </c>
      <c r="K18" s="15" t="inlineStr">
        <is>
          <t>Có điều kiện — phù hợp quản trị hồ sơ béo phì, chưa đủ để đổi điều trị.</t>
        </is>
      </c>
      <c r="L18" s="15" t="inlineStr">
        <is>
          <t>Không dùng như phác đồ thuốc; không suy rộng ngưỡng nếu chưa địa phương hóa.</t>
        </is>
      </c>
      <c r="M18" s="15" t="inlineStr">
        <is>
          <t>Guideline đồng xuất bản; PMID 42242835; CHƯA đánh giá GRADE độc lập.</t>
        </is>
      </c>
      <c r="N18" s="15" t="inlineStr">
        <is>
          <t>Cần cập nhật biểu mẫu, đào tạo ngôn ngữ không kỳ thị và xác định ngưỡng địa phương.</t>
        </is>
      </c>
      <c r="O18" s="15" t="inlineStr">
        <is>
          <t>CLARIFY</t>
        </is>
      </c>
      <c r="P18" s="15" t="inlineStr">
        <is>
          <t>Đối chiếu ngưỡng châu Á/Việt Nam và quyết định có cập nhật biểu mẫu ngoại trú hay không.</t>
        </is>
      </c>
      <c r="Q18" s="15" t="inlineStr">
        <is>
          <t>Người dùng — Trưởng chuyên ngành Nội tiết</t>
        </is>
      </c>
      <c r="R18" s="15" t="inlineStr">
        <is>
          <t>Người dùng — phụ trách phương pháp</t>
        </is>
      </c>
      <c r="S18" s="15" t="inlineStr">
        <is>
          <t>Người dùng — Chủ Chương trình</t>
        </is>
      </c>
      <c r="T18" s="15" t="inlineStr">
        <is>
          <t>Chờ người dùng duyệt</t>
        </is>
      </c>
      <c r="U18" s="43" t="n">
        <v>46272</v>
      </c>
      <c r="V18" s="43" t="n">
        <v>46302</v>
      </c>
      <c r="W18" s="15" t="inlineStr">
        <is>
          <t>DRAFT — CHƯA DUYỆT</t>
        </is>
      </c>
      <c r="X18" s="15" t="inlineStr">
        <is>
          <t>Ứng viên mới nổi; không tự thêm câu hỏi hoạt động hoặc đổi thực hành.</t>
        </is>
      </c>
    </row>
    <row r="19">
      <c r="A19" s="15" t="n"/>
      <c r="B19" s="15" t="n"/>
      <c r="C19" s="15" t="n"/>
      <c r="D19" s="15" t="n"/>
      <c r="E19" s="15" t="n"/>
      <c r="F19" s="15" t="n"/>
      <c r="G19" s="15" t="n"/>
      <c r="H19" s="15" t="n"/>
      <c r="I19" s="15" t="n"/>
      <c r="J19" s="15" t="n"/>
      <c r="K19" s="15" t="n"/>
      <c r="L19" s="15" t="n"/>
      <c r="M19" s="15" t="n"/>
      <c r="N19" s="15" t="n"/>
      <c r="O19" s="15" t="n"/>
      <c r="P19" s="15" t="n"/>
      <c r="Q19" s="15" t="n"/>
      <c r="R19" s="15" t="n"/>
      <c r="S19" s="15" t="inlineStr">
        <is>
          <t>DRAFT — CHƯA DUYỆT</t>
        </is>
      </c>
      <c r="T19" s="15" t="inlineStr">
        <is>
          <t>Chưa xác minh</t>
        </is>
      </c>
      <c r="U19" s="15" t="inlineStr">
        <is>
          <t>Chưa xác minh</t>
        </is>
      </c>
      <c r="V19" s="15" t="inlineStr">
        <is>
          <t>Chưa xác minh</t>
        </is>
      </c>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inlineStr">
        <is>
          <t>DRAFT — CHƯA DUYỆT</t>
        </is>
      </c>
      <c r="T20" s="15" t="inlineStr">
        <is>
          <t>Chưa xác minh</t>
        </is>
      </c>
      <c r="U20" s="15" t="inlineStr">
        <is>
          <t>Chưa xác minh</t>
        </is>
      </c>
      <c r="V20" s="15" t="inlineStr">
        <is>
          <t>Chưa xác minh</t>
        </is>
      </c>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inlineStr">
        <is>
          <t>DRAFT — CHƯA DUYỆT</t>
        </is>
      </c>
      <c r="T21" s="15" t="inlineStr">
        <is>
          <t>Chưa xác minh</t>
        </is>
      </c>
      <c r="U21" s="15" t="inlineStr">
        <is>
          <t>Chưa xác minh</t>
        </is>
      </c>
      <c r="V21" s="15" t="inlineStr">
        <is>
          <t>Chưa xác minh</t>
        </is>
      </c>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inlineStr">
        <is>
          <t>DRAFT — CHƯA DUYỆT</t>
        </is>
      </c>
      <c r="T22" s="15" t="inlineStr">
        <is>
          <t>Chưa xác minh</t>
        </is>
      </c>
      <c r="U22" s="15" t="inlineStr">
        <is>
          <t>Chưa xác minh</t>
        </is>
      </c>
      <c r="V22" s="15" t="inlineStr">
        <is>
          <t>Chưa xác minh</t>
        </is>
      </c>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inlineStr">
        <is>
          <t>DRAFT — CHƯA DUYỆT</t>
        </is>
      </c>
      <c r="T23" s="15" t="inlineStr">
        <is>
          <t>Chưa xác minh</t>
        </is>
      </c>
      <c r="U23" s="15" t="inlineStr">
        <is>
          <t>Chưa xác minh</t>
        </is>
      </c>
      <c r="V23" s="15" t="inlineStr">
        <is>
          <t>Chưa xác minh</t>
        </is>
      </c>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inlineStr">
        <is>
          <t>DRAFT — CHƯA DUYỆT</t>
        </is>
      </c>
      <c r="T24" s="15" t="inlineStr">
        <is>
          <t>Chưa xác minh</t>
        </is>
      </c>
      <c r="U24" s="15" t="inlineStr">
        <is>
          <t>Chưa xác minh</t>
        </is>
      </c>
      <c r="V24" s="15" t="inlineStr">
        <is>
          <t>Chưa xác minh</t>
        </is>
      </c>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inlineStr">
        <is>
          <t>DRAFT — CHƯA DUYỆT</t>
        </is>
      </c>
      <c r="T25" s="15" t="inlineStr">
        <is>
          <t>Chưa xác minh</t>
        </is>
      </c>
      <c r="U25" s="15" t="inlineStr">
        <is>
          <t>Chưa xác minh</t>
        </is>
      </c>
      <c r="V25" s="15" t="inlineStr">
        <is>
          <t>Chưa xác minh</t>
        </is>
      </c>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inlineStr">
        <is>
          <t>DRAFT — CHƯA DUYỆT</t>
        </is>
      </c>
      <c r="T26" s="15" t="inlineStr">
        <is>
          <t>Chưa xác minh</t>
        </is>
      </c>
      <c r="U26" s="15" t="inlineStr">
        <is>
          <t>Chưa xác minh</t>
        </is>
      </c>
      <c r="V26" s="15" t="inlineStr">
        <is>
          <t>Chưa xác minh</t>
        </is>
      </c>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inlineStr">
        <is>
          <t>DRAFT — CHƯA DUYỆT</t>
        </is>
      </c>
      <c r="T27" s="15" t="inlineStr">
        <is>
          <t>Chưa xác minh</t>
        </is>
      </c>
      <c r="U27" s="15" t="inlineStr">
        <is>
          <t>Chưa xác minh</t>
        </is>
      </c>
      <c r="V27" s="15" t="inlineStr">
        <is>
          <t>Chưa xác minh</t>
        </is>
      </c>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inlineStr">
        <is>
          <t>DRAFT — CHƯA DUYỆT</t>
        </is>
      </c>
      <c r="T28" s="15" t="inlineStr">
        <is>
          <t>Chưa xác minh</t>
        </is>
      </c>
      <c r="U28" s="15" t="inlineStr">
        <is>
          <t>Chưa xác minh</t>
        </is>
      </c>
      <c r="V28" s="15" t="inlineStr">
        <is>
          <t>Chưa xác minh</t>
        </is>
      </c>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inlineStr">
        <is>
          <t>DRAFT — CHƯA DUYỆT</t>
        </is>
      </c>
      <c r="T29" s="15" t="inlineStr">
        <is>
          <t>Chưa xác minh</t>
        </is>
      </c>
      <c r="U29" s="15" t="inlineStr">
        <is>
          <t>Chưa xác minh</t>
        </is>
      </c>
      <c r="V29" s="15" t="inlineStr">
        <is>
          <t>Chưa xác minh</t>
        </is>
      </c>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inlineStr">
        <is>
          <t>DRAFT — CHƯA DUYỆT</t>
        </is>
      </c>
      <c r="T30" s="15" t="inlineStr">
        <is>
          <t>Chưa xác minh</t>
        </is>
      </c>
      <c r="U30" s="15" t="inlineStr">
        <is>
          <t>Chưa xác minh</t>
        </is>
      </c>
      <c r="V30" s="15" t="inlineStr">
        <is>
          <t>Chưa xác minh</t>
        </is>
      </c>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inlineStr">
        <is>
          <t>DRAFT — CHƯA DUYỆT</t>
        </is>
      </c>
      <c r="T31" s="15" t="inlineStr">
        <is>
          <t>Chưa xác minh</t>
        </is>
      </c>
      <c r="U31" s="15" t="inlineStr">
        <is>
          <t>Chưa xác minh</t>
        </is>
      </c>
      <c r="V31" s="15" t="inlineStr">
        <is>
          <t>Chưa xác minh</t>
        </is>
      </c>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inlineStr">
        <is>
          <t>DRAFT — CHƯA DUYỆT</t>
        </is>
      </c>
      <c r="T32" s="15" t="inlineStr">
        <is>
          <t>Chưa xác minh</t>
        </is>
      </c>
      <c r="U32" s="15" t="inlineStr">
        <is>
          <t>Chưa xác minh</t>
        </is>
      </c>
      <c r="V32" s="15" t="inlineStr">
        <is>
          <t>Chưa xác minh</t>
        </is>
      </c>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inlineStr">
        <is>
          <t>DRAFT — CHƯA DUYỆT</t>
        </is>
      </c>
      <c r="T33" s="15" t="inlineStr">
        <is>
          <t>Chưa xác minh</t>
        </is>
      </c>
      <c r="U33" s="15" t="inlineStr">
        <is>
          <t>Chưa xác minh</t>
        </is>
      </c>
      <c r="V33" s="15" t="inlineStr">
        <is>
          <t>Chưa xác minh</t>
        </is>
      </c>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inlineStr">
        <is>
          <t>DRAFT — CHƯA DUYỆT</t>
        </is>
      </c>
      <c r="T34" s="15" t="inlineStr">
        <is>
          <t>Chưa xác minh</t>
        </is>
      </c>
      <c r="U34" s="15" t="inlineStr">
        <is>
          <t>Chưa xác minh</t>
        </is>
      </c>
      <c r="V34" s="15" t="inlineStr">
        <is>
          <t>Chưa xác minh</t>
        </is>
      </c>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inlineStr">
        <is>
          <t>DRAFT — CHƯA DUYỆT</t>
        </is>
      </c>
      <c r="T35" s="15" t="inlineStr">
        <is>
          <t>Chưa xác minh</t>
        </is>
      </c>
      <c r="U35" s="15" t="inlineStr">
        <is>
          <t>Chưa xác minh</t>
        </is>
      </c>
      <c r="V35" s="15" t="inlineStr">
        <is>
          <t>Chưa xác minh</t>
        </is>
      </c>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inlineStr">
        <is>
          <t>DRAFT — CHƯA DUYỆT</t>
        </is>
      </c>
      <c r="T36" s="15" t="inlineStr">
        <is>
          <t>Chưa xác minh</t>
        </is>
      </c>
      <c r="U36" s="15" t="inlineStr">
        <is>
          <t>Chưa xác minh</t>
        </is>
      </c>
      <c r="V36" s="15" t="inlineStr">
        <is>
          <t>Chưa xác minh</t>
        </is>
      </c>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inlineStr">
        <is>
          <t>DRAFT — CHƯA DUYỆT</t>
        </is>
      </c>
      <c r="T37" s="15" t="inlineStr">
        <is>
          <t>Chưa xác minh</t>
        </is>
      </c>
      <c r="U37" s="15" t="inlineStr">
        <is>
          <t>Chưa xác minh</t>
        </is>
      </c>
      <c r="V37" s="15" t="inlineStr">
        <is>
          <t>Chưa xác minh</t>
        </is>
      </c>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inlineStr">
        <is>
          <t>DRAFT — CHƯA DUYỆT</t>
        </is>
      </c>
      <c r="T38" s="15" t="inlineStr">
        <is>
          <t>Chưa xác minh</t>
        </is>
      </c>
      <c r="U38" s="15" t="inlineStr">
        <is>
          <t>Chưa xác minh</t>
        </is>
      </c>
      <c r="V38" s="15" t="inlineStr">
        <is>
          <t>Chưa xác minh</t>
        </is>
      </c>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inlineStr">
        <is>
          <t>DRAFT — CHƯA DUYỆT</t>
        </is>
      </c>
      <c r="T39" s="15" t="inlineStr">
        <is>
          <t>Chưa xác minh</t>
        </is>
      </c>
      <c r="U39" s="15" t="inlineStr">
        <is>
          <t>Chưa xác minh</t>
        </is>
      </c>
      <c r="V39" s="15" t="inlineStr">
        <is>
          <t>Chưa xác minh</t>
        </is>
      </c>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inlineStr">
        <is>
          <t>DRAFT — CHƯA DUYỆT</t>
        </is>
      </c>
      <c r="T40" s="15" t="inlineStr">
        <is>
          <t>Chưa xác minh</t>
        </is>
      </c>
      <c r="U40" s="15" t="inlineStr">
        <is>
          <t>Chưa xác minh</t>
        </is>
      </c>
      <c r="V40" s="15" t="inlineStr">
        <is>
          <t>Chưa xác minh</t>
        </is>
      </c>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inlineStr">
        <is>
          <t>DRAFT — CHƯA DUYỆT</t>
        </is>
      </c>
      <c r="T41" s="15" t="inlineStr">
        <is>
          <t>Chưa xác minh</t>
        </is>
      </c>
      <c r="U41" s="15" t="inlineStr">
        <is>
          <t>Chưa xác minh</t>
        </is>
      </c>
      <c r="V41" s="15" t="inlineStr">
        <is>
          <t>Chưa xác minh</t>
        </is>
      </c>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inlineStr">
        <is>
          <t>DRAFT — CHƯA DUYỆT</t>
        </is>
      </c>
      <c r="T42" s="15" t="inlineStr">
        <is>
          <t>Chưa xác minh</t>
        </is>
      </c>
      <c r="U42" s="15" t="inlineStr">
        <is>
          <t>Chưa xác minh</t>
        </is>
      </c>
      <c r="V42" s="15" t="inlineStr">
        <is>
          <t>Chưa xác minh</t>
        </is>
      </c>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inlineStr">
        <is>
          <t>DRAFT — CHƯA DUYỆT</t>
        </is>
      </c>
      <c r="T43" s="15" t="inlineStr">
        <is>
          <t>Chưa xác minh</t>
        </is>
      </c>
      <c r="U43" s="15" t="inlineStr">
        <is>
          <t>Chưa xác minh</t>
        </is>
      </c>
      <c r="V43" s="15" t="inlineStr">
        <is>
          <t>Chưa xác minh</t>
        </is>
      </c>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inlineStr">
        <is>
          <t>DRAFT — CHƯA DUYỆT</t>
        </is>
      </c>
      <c r="T44" s="15" t="inlineStr">
        <is>
          <t>Chưa xác minh</t>
        </is>
      </c>
      <c r="U44" s="15" t="inlineStr">
        <is>
          <t>Chưa xác minh</t>
        </is>
      </c>
      <c r="V44" s="15" t="inlineStr">
        <is>
          <t>Chưa xác minh</t>
        </is>
      </c>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inlineStr">
        <is>
          <t>DRAFT — CHƯA DUYỆT</t>
        </is>
      </c>
      <c r="T45" s="15" t="inlineStr">
        <is>
          <t>Chưa xác minh</t>
        </is>
      </c>
      <c r="U45" s="15" t="inlineStr">
        <is>
          <t>Chưa xác minh</t>
        </is>
      </c>
      <c r="V45" s="15" t="inlineStr">
        <is>
          <t>Chưa xác minh</t>
        </is>
      </c>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inlineStr">
        <is>
          <t>DRAFT — CHƯA DUYỆT</t>
        </is>
      </c>
      <c r="T46" s="15" t="inlineStr">
        <is>
          <t>Chưa xác minh</t>
        </is>
      </c>
      <c r="U46" s="15" t="inlineStr">
        <is>
          <t>Chưa xác minh</t>
        </is>
      </c>
      <c r="V46" s="15" t="inlineStr">
        <is>
          <t>Chưa xác minh</t>
        </is>
      </c>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inlineStr">
        <is>
          <t>DRAFT — CHƯA DUYỆT</t>
        </is>
      </c>
      <c r="T47" s="15" t="inlineStr">
        <is>
          <t>Chưa xác minh</t>
        </is>
      </c>
      <c r="U47" s="15" t="inlineStr">
        <is>
          <t>Chưa xác minh</t>
        </is>
      </c>
      <c r="V47" s="15" t="inlineStr">
        <is>
          <t>Chưa xác minh</t>
        </is>
      </c>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inlineStr">
        <is>
          <t>DRAFT — CHƯA DUYỆT</t>
        </is>
      </c>
      <c r="T48" s="15" t="inlineStr">
        <is>
          <t>Chưa xác minh</t>
        </is>
      </c>
      <c r="U48" s="15" t="inlineStr">
        <is>
          <t>Chưa xác minh</t>
        </is>
      </c>
      <c r="V48" s="15" t="inlineStr">
        <is>
          <t>Chưa xác minh</t>
        </is>
      </c>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inlineStr">
        <is>
          <t>DRAFT — CHƯA DUYỆT</t>
        </is>
      </c>
      <c r="T49" s="15" t="inlineStr">
        <is>
          <t>Chưa xác minh</t>
        </is>
      </c>
      <c r="U49" s="15" t="inlineStr">
        <is>
          <t>Chưa xác minh</t>
        </is>
      </c>
      <c r="V49" s="15" t="inlineStr">
        <is>
          <t>Chưa xác minh</t>
        </is>
      </c>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inlineStr">
        <is>
          <t>DRAFT — CHƯA DUYỆT</t>
        </is>
      </c>
      <c r="T50" s="15" t="inlineStr">
        <is>
          <t>Chưa xác minh</t>
        </is>
      </c>
      <c r="U50" s="15" t="inlineStr">
        <is>
          <t>Chưa xác minh</t>
        </is>
      </c>
      <c r="V50" s="15" t="inlineStr">
        <is>
          <t>Chưa xác minh</t>
        </is>
      </c>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inlineStr">
        <is>
          <t>DRAFT — CHƯA DUYỆT</t>
        </is>
      </c>
      <c r="T51" s="15" t="inlineStr">
        <is>
          <t>Chưa xác minh</t>
        </is>
      </c>
      <c r="U51" s="15" t="inlineStr">
        <is>
          <t>Chưa xác minh</t>
        </is>
      </c>
      <c r="V51" s="15" t="inlineStr">
        <is>
          <t>Chưa xác minh</t>
        </is>
      </c>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inlineStr">
        <is>
          <t>DRAFT — CHƯA DUYỆT</t>
        </is>
      </c>
      <c r="T52" s="15" t="inlineStr">
        <is>
          <t>Chưa xác minh</t>
        </is>
      </c>
      <c r="U52" s="15" t="inlineStr">
        <is>
          <t>Chưa xác minh</t>
        </is>
      </c>
      <c r="V52" s="15" t="inlineStr">
        <is>
          <t>Chưa xác minh</t>
        </is>
      </c>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inlineStr">
        <is>
          <t>DRAFT — CHƯA DUYỆT</t>
        </is>
      </c>
      <c r="T53" s="15" t="inlineStr">
        <is>
          <t>Chưa xác minh</t>
        </is>
      </c>
      <c r="U53" s="15" t="inlineStr">
        <is>
          <t>Chưa xác minh</t>
        </is>
      </c>
      <c r="V53" s="15" t="inlineStr">
        <is>
          <t>Chưa xác minh</t>
        </is>
      </c>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inlineStr">
        <is>
          <t>DRAFT — CHƯA DUYỆT</t>
        </is>
      </c>
      <c r="T54" s="15" t="inlineStr">
        <is>
          <t>Chưa xác minh</t>
        </is>
      </c>
      <c r="U54" s="15" t="inlineStr">
        <is>
          <t>Chưa xác minh</t>
        </is>
      </c>
      <c r="V54" s="15" t="inlineStr">
        <is>
          <t>Chưa xác minh</t>
        </is>
      </c>
      <c r="W54" s="15" t="n"/>
      <c r="X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inlineStr">
        <is>
          <t>DRAFT — CHƯA DUYỆT</t>
        </is>
      </c>
      <c r="T55" s="15" t="inlineStr">
        <is>
          <t>Chưa xác minh</t>
        </is>
      </c>
      <c r="U55" s="15" t="inlineStr">
        <is>
          <t>Chưa xác minh</t>
        </is>
      </c>
      <c r="V55" s="15" t="inlineStr">
        <is>
          <t>Chưa xác minh</t>
        </is>
      </c>
      <c r="W55" s="15" t="n"/>
      <c r="X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inlineStr">
        <is>
          <t>DRAFT — CHƯA DUYỆT</t>
        </is>
      </c>
      <c r="T56" s="15" t="inlineStr">
        <is>
          <t>Chưa xác minh</t>
        </is>
      </c>
      <c r="U56" s="15" t="inlineStr">
        <is>
          <t>Chưa xác minh</t>
        </is>
      </c>
      <c r="V56" s="15" t="inlineStr">
        <is>
          <t>Chưa xác minh</t>
        </is>
      </c>
      <c r="W56" s="15" t="n"/>
      <c r="X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inlineStr">
        <is>
          <t>DRAFT — CHƯA DUYỆT</t>
        </is>
      </c>
      <c r="T57" s="15" t="inlineStr">
        <is>
          <t>Chưa xác minh</t>
        </is>
      </c>
      <c r="U57" s="15" t="inlineStr">
        <is>
          <t>Chưa xác minh</t>
        </is>
      </c>
      <c r="V57" s="15" t="inlineStr">
        <is>
          <t>Chưa xác minh</t>
        </is>
      </c>
      <c r="W57" s="15" t="n"/>
      <c r="X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inlineStr">
        <is>
          <t>DRAFT — CHƯA DUYỆT</t>
        </is>
      </c>
      <c r="T58" s="15" t="inlineStr">
        <is>
          <t>Chưa xác minh</t>
        </is>
      </c>
      <c r="U58" s="15" t="inlineStr">
        <is>
          <t>Chưa xác minh</t>
        </is>
      </c>
      <c r="V58" s="15" t="inlineStr">
        <is>
          <t>Chưa xác minh</t>
        </is>
      </c>
      <c r="W58" s="15" t="n"/>
      <c r="X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inlineStr">
        <is>
          <t>DRAFT — CHƯA DUYỆT</t>
        </is>
      </c>
      <c r="T59" s="15" t="inlineStr">
        <is>
          <t>Chưa xác minh</t>
        </is>
      </c>
      <c r="U59" s="15" t="inlineStr">
        <is>
          <t>Chưa xác minh</t>
        </is>
      </c>
      <c r="V59" s="15" t="inlineStr">
        <is>
          <t>Chưa xác minh</t>
        </is>
      </c>
      <c r="W59" s="15" t="n"/>
      <c r="X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inlineStr">
        <is>
          <t>DRAFT — CHƯA DUYỆT</t>
        </is>
      </c>
      <c r="T60" s="15" t="inlineStr">
        <is>
          <t>Chưa xác minh</t>
        </is>
      </c>
      <c r="U60" s="15" t="inlineStr">
        <is>
          <t>Chưa xác minh</t>
        </is>
      </c>
      <c r="V60" s="15" t="inlineStr">
        <is>
          <t>Chưa xác minh</t>
        </is>
      </c>
      <c r="W60" s="15" t="n"/>
      <c r="X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inlineStr">
        <is>
          <t>DRAFT — CHƯA DUYỆT</t>
        </is>
      </c>
      <c r="T61" s="15" t="inlineStr">
        <is>
          <t>Chưa xác minh</t>
        </is>
      </c>
      <c r="U61" s="15" t="inlineStr">
        <is>
          <t>Chưa xác minh</t>
        </is>
      </c>
      <c r="V61" s="15" t="inlineStr">
        <is>
          <t>Chưa xác minh</t>
        </is>
      </c>
      <c r="W61" s="15" t="n"/>
      <c r="X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inlineStr">
        <is>
          <t>DRAFT — CHƯA DUYỆT</t>
        </is>
      </c>
      <c r="T62" s="15" t="inlineStr">
        <is>
          <t>Chưa xác minh</t>
        </is>
      </c>
      <c r="U62" s="15" t="inlineStr">
        <is>
          <t>Chưa xác minh</t>
        </is>
      </c>
      <c r="V62" s="15" t="inlineStr">
        <is>
          <t>Chưa xác minh</t>
        </is>
      </c>
      <c r="W62" s="15" t="n"/>
      <c r="X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inlineStr">
        <is>
          <t>DRAFT — CHƯA DUYỆT</t>
        </is>
      </c>
      <c r="T63" s="15" t="inlineStr">
        <is>
          <t>Chưa xác minh</t>
        </is>
      </c>
      <c r="U63" s="15" t="inlineStr">
        <is>
          <t>Chưa xác minh</t>
        </is>
      </c>
      <c r="V63" s="15" t="inlineStr">
        <is>
          <t>Chưa xác minh</t>
        </is>
      </c>
      <c r="W63" s="15" t="n"/>
      <c r="X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inlineStr">
        <is>
          <t>DRAFT — CHƯA DUYỆT</t>
        </is>
      </c>
      <c r="T64" s="15" t="inlineStr">
        <is>
          <t>Chưa xác minh</t>
        </is>
      </c>
      <c r="U64" s="15" t="inlineStr">
        <is>
          <t>Chưa xác minh</t>
        </is>
      </c>
      <c r="V64" s="15" t="inlineStr">
        <is>
          <t>Chưa xác minh</t>
        </is>
      </c>
      <c r="W64" s="15" t="n"/>
      <c r="X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inlineStr">
        <is>
          <t>DRAFT — CHƯA DUYỆT</t>
        </is>
      </c>
      <c r="T65" s="15" t="inlineStr">
        <is>
          <t>Chưa xác minh</t>
        </is>
      </c>
      <c r="U65" s="15" t="inlineStr">
        <is>
          <t>Chưa xác minh</t>
        </is>
      </c>
      <c r="V65" s="15" t="inlineStr">
        <is>
          <t>Chưa xác minh</t>
        </is>
      </c>
      <c r="W65" s="15" t="n"/>
      <c r="X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inlineStr">
        <is>
          <t>DRAFT — CHƯA DUYỆT</t>
        </is>
      </c>
      <c r="T66" s="15" t="inlineStr">
        <is>
          <t>Chưa xác minh</t>
        </is>
      </c>
      <c r="U66" s="15" t="inlineStr">
        <is>
          <t>Chưa xác minh</t>
        </is>
      </c>
      <c r="V66" s="15" t="inlineStr">
        <is>
          <t>Chưa xác minh</t>
        </is>
      </c>
      <c r="W66" s="15" t="n"/>
      <c r="X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inlineStr">
        <is>
          <t>DRAFT — CHƯA DUYỆT</t>
        </is>
      </c>
      <c r="T67" s="15" t="inlineStr">
        <is>
          <t>Chưa xác minh</t>
        </is>
      </c>
      <c r="U67" s="15" t="inlineStr">
        <is>
          <t>Chưa xác minh</t>
        </is>
      </c>
      <c r="V67" s="15" t="inlineStr">
        <is>
          <t>Chưa xác minh</t>
        </is>
      </c>
      <c r="W67" s="15" t="n"/>
      <c r="X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inlineStr">
        <is>
          <t>DRAFT — CHƯA DUYỆT</t>
        </is>
      </c>
      <c r="T68" s="15" t="inlineStr">
        <is>
          <t>Chưa xác minh</t>
        </is>
      </c>
      <c r="U68" s="15" t="inlineStr">
        <is>
          <t>Chưa xác minh</t>
        </is>
      </c>
      <c r="V68" s="15" t="inlineStr">
        <is>
          <t>Chưa xác minh</t>
        </is>
      </c>
      <c r="W68" s="15" t="n"/>
      <c r="X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inlineStr">
        <is>
          <t>DRAFT — CHƯA DUYỆT</t>
        </is>
      </c>
      <c r="T69" s="15" t="inlineStr">
        <is>
          <t>Chưa xác minh</t>
        </is>
      </c>
      <c r="U69" s="15" t="inlineStr">
        <is>
          <t>Chưa xác minh</t>
        </is>
      </c>
      <c r="V69" s="15" t="inlineStr">
        <is>
          <t>Chưa xác minh</t>
        </is>
      </c>
      <c r="W69" s="15" t="n"/>
      <c r="X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inlineStr">
        <is>
          <t>DRAFT — CHƯA DUYỆT</t>
        </is>
      </c>
      <c r="T70" s="15" t="inlineStr">
        <is>
          <t>Chưa xác minh</t>
        </is>
      </c>
      <c r="U70" s="15" t="inlineStr">
        <is>
          <t>Chưa xác minh</t>
        </is>
      </c>
      <c r="V70" s="15" t="inlineStr">
        <is>
          <t>Chưa xác minh</t>
        </is>
      </c>
      <c r="W70" s="15" t="n"/>
      <c r="X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inlineStr">
        <is>
          <t>DRAFT — CHƯA DUYỆT</t>
        </is>
      </c>
      <c r="T71" s="15" t="inlineStr">
        <is>
          <t>Chưa xác minh</t>
        </is>
      </c>
      <c r="U71" s="15" t="inlineStr">
        <is>
          <t>Chưa xác minh</t>
        </is>
      </c>
      <c r="V71" s="15" t="inlineStr">
        <is>
          <t>Chưa xác minh</t>
        </is>
      </c>
      <c r="W71" s="15" t="n"/>
      <c r="X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inlineStr">
        <is>
          <t>DRAFT — CHƯA DUYỆT</t>
        </is>
      </c>
      <c r="T72" s="15" t="inlineStr">
        <is>
          <t>Chưa xác minh</t>
        </is>
      </c>
      <c r="U72" s="15" t="inlineStr">
        <is>
          <t>Chưa xác minh</t>
        </is>
      </c>
      <c r="V72" s="15" t="inlineStr">
        <is>
          <t>Chưa xác minh</t>
        </is>
      </c>
      <c r="W72" s="15" t="n"/>
      <c r="X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inlineStr">
        <is>
          <t>DRAFT — CHƯA DUYỆT</t>
        </is>
      </c>
      <c r="T73" s="15" t="inlineStr">
        <is>
          <t>Chưa xác minh</t>
        </is>
      </c>
      <c r="U73" s="15" t="inlineStr">
        <is>
          <t>Chưa xác minh</t>
        </is>
      </c>
      <c r="V73" s="15" t="inlineStr">
        <is>
          <t>Chưa xác minh</t>
        </is>
      </c>
      <c r="W73" s="15" t="n"/>
      <c r="X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inlineStr">
        <is>
          <t>DRAFT — CHƯA DUYỆT</t>
        </is>
      </c>
      <c r="T74" s="15" t="inlineStr">
        <is>
          <t>Chưa xác minh</t>
        </is>
      </c>
      <c r="U74" s="15" t="inlineStr">
        <is>
          <t>Chưa xác minh</t>
        </is>
      </c>
      <c r="V74" s="15" t="inlineStr">
        <is>
          <t>Chưa xác minh</t>
        </is>
      </c>
      <c r="W74" s="15" t="n"/>
      <c r="X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inlineStr">
        <is>
          <t>DRAFT — CHƯA DUYỆT</t>
        </is>
      </c>
      <c r="T75" s="15" t="inlineStr">
        <is>
          <t>Chưa xác minh</t>
        </is>
      </c>
      <c r="U75" s="15" t="inlineStr">
        <is>
          <t>Chưa xác minh</t>
        </is>
      </c>
      <c r="V75" s="15" t="inlineStr">
        <is>
          <t>Chưa xác minh</t>
        </is>
      </c>
      <c r="W75" s="15" t="n"/>
      <c r="X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inlineStr">
        <is>
          <t>DRAFT — CHƯA DUYỆT</t>
        </is>
      </c>
      <c r="T76" s="15" t="inlineStr">
        <is>
          <t>Chưa xác minh</t>
        </is>
      </c>
      <c r="U76" s="15" t="inlineStr">
        <is>
          <t>Chưa xác minh</t>
        </is>
      </c>
      <c r="V76" s="15" t="inlineStr">
        <is>
          <t>Chưa xác minh</t>
        </is>
      </c>
      <c r="W76" s="15" t="n"/>
      <c r="X76" s="15"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inlineStr">
        <is>
          <t>DRAFT — CHƯA DUYỆT</t>
        </is>
      </c>
      <c r="T77" s="15" t="inlineStr">
        <is>
          <t>Chưa xác minh</t>
        </is>
      </c>
      <c r="U77" s="15" t="inlineStr">
        <is>
          <t>Chưa xác minh</t>
        </is>
      </c>
      <c r="V77" s="15" t="inlineStr">
        <is>
          <t>Chưa xác minh</t>
        </is>
      </c>
      <c r="W77" s="15" t="n"/>
      <c r="X77" s="15" t="n"/>
    </row>
    <row r="78">
      <c r="A78" s="15" t="n"/>
      <c r="B78" s="15" t="n"/>
      <c r="C78" s="15" t="n"/>
      <c r="D78" s="15" t="n"/>
      <c r="E78" s="15" t="n"/>
      <c r="F78" s="15" t="n"/>
      <c r="G78" s="15" t="n"/>
      <c r="H78" s="15" t="n"/>
      <c r="I78" s="15" t="n"/>
      <c r="J78" s="15" t="n"/>
      <c r="K78" s="15" t="n"/>
      <c r="L78" s="15" t="n"/>
      <c r="M78" s="15" t="n"/>
      <c r="N78" s="15" t="n"/>
      <c r="O78" s="15" t="n"/>
      <c r="P78" s="15" t="n"/>
      <c r="Q78" s="15" t="n"/>
      <c r="R78" s="15" t="n"/>
      <c r="S78" s="15" t="inlineStr">
        <is>
          <t>DRAFT — CHƯA DUYỆT</t>
        </is>
      </c>
      <c r="T78" s="15" t="inlineStr">
        <is>
          <t>Chưa xác minh</t>
        </is>
      </c>
      <c r="U78" s="15" t="inlineStr">
        <is>
          <t>Chưa xác minh</t>
        </is>
      </c>
      <c r="V78" s="15" t="inlineStr">
        <is>
          <t>Chưa xác minh</t>
        </is>
      </c>
      <c r="W78" s="15" t="n"/>
      <c r="X78" s="15"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inlineStr">
        <is>
          <t>DRAFT — CHƯA DUYỆT</t>
        </is>
      </c>
      <c r="T79" s="15" t="inlineStr">
        <is>
          <t>Chưa xác minh</t>
        </is>
      </c>
      <c r="U79" s="15" t="inlineStr">
        <is>
          <t>Chưa xác minh</t>
        </is>
      </c>
      <c r="V79" s="15" t="inlineStr">
        <is>
          <t>Chưa xác minh</t>
        </is>
      </c>
      <c r="W79" s="15" t="n"/>
      <c r="X79" s="15"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inlineStr">
        <is>
          <t>DRAFT — CHƯA DUYỆT</t>
        </is>
      </c>
      <c r="T80" s="15" t="inlineStr">
        <is>
          <t>Chưa xác minh</t>
        </is>
      </c>
      <c r="U80" s="15" t="inlineStr">
        <is>
          <t>Chưa xác minh</t>
        </is>
      </c>
      <c r="V80" s="15" t="inlineStr">
        <is>
          <t>Chưa xác minh</t>
        </is>
      </c>
      <c r="W80" s="15" t="n"/>
      <c r="X80" s="15"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inlineStr">
        <is>
          <t>DRAFT — CHƯA DUYỆT</t>
        </is>
      </c>
      <c r="T81" s="15" t="inlineStr">
        <is>
          <t>Chưa xác minh</t>
        </is>
      </c>
      <c r="U81" s="15" t="inlineStr">
        <is>
          <t>Chưa xác minh</t>
        </is>
      </c>
      <c r="V81" s="15" t="inlineStr">
        <is>
          <t>Chưa xác minh</t>
        </is>
      </c>
      <c r="W81" s="15" t="n"/>
      <c r="X81" s="15"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inlineStr">
        <is>
          <t>DRAFT — CHƯA DUYỆT</t>
        </is>
      </c>
      <c r="T82" s="15" t="inlineStr">
        <is>
          <t>Chưa xác minh</t>
        </is>
      </c>
      <c r="U82" s="15" t="inlineStr">
        <is>
          <t>Chưa xác minh</t>
        </is>
      </c>
      <c r="V82" s="15" t="inlineStr">
        <is>
          <t>Chưa xác minh</t>
        </is>
      </c>
      <c r="W82" s="15" t="n"/>
      <c r="X82" s="15"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inlineStr">
        <is>
          <t>DRAFT — CHƯA DUYỆT</t>
        </is>
      </c>
      <c r="T83" s="15" t="inlineStr">
        <is>
          <t>Chưa xác minh</t>
        </is>
      </c>
      <c r="U83" s="15" t="inlineStr">
        <is>
          <t>Chưa xác minh</t>
        </is>
      </c>
      <c r="V83" s="15" t="inlineStr">
        <is>
          <t>Chưa xác minh</t>
        </is>
      </c>
      <c r="W83" s="15" t="n"/>
      <c r="X83" s="15"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inlineStr">
        <is>
          <t>DRAFT — CHƯA DUYỆT</t>
        </is>
      </c>
      <c r="T84" s="15" t="inlineStr">
        <is>
          <t>Chưa xác minh</t>
        </is>
      </c>
      <c r="U84" s="15" t="inlineStr">
        <is>
          <t>Chưa xác minh</t>
        </is>
      </c>
      <c r="V84" s="15" t="inlineStr">
        <is>
          <t>Chưa xác minh</t>
        </is>
      </c>
      <c r="W84" s="15" t="n"/>
      <c r="X84" s="15"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inlineStr">
        <is>
          <t>DRAFT — CHƯA DUYỆT</t>
        </is>
      </c>
      <c r="T85" s="15" t="inlineStr">
        <is>
          <t>Chưa xác minh</t>
        </is>
      </c>
      <c r="U85" s="15" t="inlineStr">
        <is>
          <t>Chưa xác minh</t>
        </is>
      </c>
      <c r="V85" s="15" t="inlineStr">
        <is>
          <t>Chưa xác minh</t>
        </is>
      </c>
      <c r="W85" s="15" t="n"/>
      <c r="X85" s="15"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inlineStr">
        <is>
          <t>DRAFT — CHƯA DUYỆT</t>
        </is>
      </c>
      <c r="T86" s="15" t="inlineStr">
        <is>
          <t>Chưa xác minh</t>
        </is>
      </c>
      <c r="U86" s="15" t="inlineStr">
        <is>
          <t>Chưa xác minh</t>
        </is>
      </c>
      <c r="V86" s="15" t="inlineStr">
        <is>
          <t>Chưa xác minh</t>
        </is>
      </c>
      <c r="W86" s="15" t="n"/>
      <c r="X86" s="15"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inlineStr">
        <is>
          <t>DRAFT — CHƯA DUYỆT</t>
        </is>
      </c>
      <c r="T87" s="15" t="inlineStr">
        <is>
          <t>Chưa xác minh</t>
        </is>
      </c>
      <c r="U87" s="15" t="inlineStr">
        <is>
          <t>Chưa xác minh</t>
        </is>
      </c>
      <c r="V87" s="15" t="inlineStr">
        <is>
          <t>Chưa xác minh</t>
        </is>
      </c>
      <c r="W87" s="15" t="n"/>
      <c r="X87" s="15"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inlineStr">
        <is>
          <t>DRAFT — CHƯA DUYỆT</t>
        </is>
      </c>
      <c r="T88" s="15" t="inlineStr">
        <is>
          <t>Chưa xác minh</t>
        </is>
      </c>
      <c r="U88" s="15" t="inlineStr">
        <is>
          <t>Chưa xác minh</t>
        </is>
      </c>
      <c r="V88" s="15" t="inlineStr">
        <is>
          <t>Chưa xác minh</t>
        </is>
      </c>
      <c r="W88" s="15" t="n"/>
      <c r="X88" s="15"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inlineStr">
        <is>
          <t>DRAFT — CHƯA DUYỆT</t>
        </is>
      </c>
      <c r="T89" s="15" t="inlineStr">
        <is>
          <t>Chưa xác minh</t>
        </is>
      </c>
      <c r="U89" s="15" t="inlineStr">
        <is>
          <t>Chưa xác minh</t>
        </is>
      </c>
      <c r="V89" s="15" t="inlineStr">
        <is>
          <t>Chưa xác minh</t>
        </is>
      </c>
      <c r="W89" s="15" t="n"/>
      <c r="X89" s="15"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inlineStr">
        <is>
          <t>DRAFT — CHƯA DUYỆT</t>
        </is>
      </c>
      <c r="T90" s="15" t="inlineStr">
        <is>
          <t>Chưa xác minh</t>
        </is>
      </c>
      <c r="U90" s="15" t="inlineStr">
        <is>
          <t>Chưa xác minh</t>
        </is>
      </c>
      <c r="V90" s="15" t="inlineStr">
        <is>
          <t>Chưa xác minh</t>
        </is>
      </c>
      <c r="W90" s="15" t="n"/>
      <c r="X90" s="15"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inlineStr">
        <is>
          <t>DRAFT — CHƯA DUYỆT</t>
        </is>
      </c>
      <c r="T91" s="15" t="inlineStr">
        <is>
          <t>Chưa xác minh</t>
        </is>
      </c>
      <c r="U91" s="15" t="inlineStr">
        <is>
          <t>Chưa xác minh</t>
        </is>
      </c>
      <c r="V91" s="15" t="inlineStr">
        <is>
          <t>Chưa xác minh</t>
        </is>
      </c>
      <c r="W91" s="15" t="n"/>
      <c r="X91" s="15"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inlineStr">
        <is>
          <t>DRAFT — CHƯA DUYỆT</t>
        </is>
      </c>
      <c r="T92" s="15" t="inlineStr">
        <is>
          <t>Chưa xác minh</t>
        </is>
      </c>
      <c r="U92" s="15" t="inlineStr">
        <is>
          <t>Chưa xác minh</t>
        </is>
      </c>
      <c r="V92" s="15" t="inlineStr">
        <is>
          <t>Chưa xác minh</t>
        </is>
      </c>
      <c r="W92" s="15" t="n"/>
      <c r="X92" s="15"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inlineStr">
        <is>
          <t>DRAFT — CHƯA DUYỆT</t>
        </is>
      </c>
      <c r="T93" s="15" t="inlineStr">
        <is>
          <t>Chưa xác minh</t>
        </is>
      </c>
      <c r="U93" s="15" t="inlineStr">
        <is>
          <t>Chưa xác minh</t>
        </is>
      </c>
      <c r="V93" s="15" t="inlineStr">
        <is>
          <t>Chưa xác minh</t>
        </is>
      </c>
      <c r="W93" s="15" t="n"/>
      <c r="X93" s="15"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inlineStr">
        <is>
          <t>DRAFT — CHƯA DUYỆT</t>
        </is>
      </c>
      <c r="T94" s="15" t="inlineStr">
        <is>
          <t>Chưa xác minh</t>
        </is>
      </c>
      <c r="U94" s="15" t="inlineStr">
        <is>
          <t>Chưa xác minh</t>
        </is>
      </c>
      <c r="V94" s="15" t="inlineStr">
        <is>
          <t>Chưa xác minh</t>
        </is>
      </c>
      <c r="W94" s="15" t="n"/>
      <c r="X94" s="15"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inlineStr">
        <is>
          <t>DRAFT — CHƯA DUYỆT</t>
        </is>
      </c>
      <c r="T95" s="15" t="inlineStr">
        <is>
          <t>Chưa xác minh</t>
        </is>
      </c>
      <c r="U95" s="15" t="inlineStr">
        <is>
          <t>Chưa xác minh</t>
        </is>
      </c>
      <c r="V95" s="15" t="inlineStr">
        <is>
          <t>Chưa xác minh</t>
        </is>
      </c>
      <c r="W95" s="15" t="n"/>
      <c r="X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inlineStr">
        <is>
          <t>DRAFT — CHƯA DUYỆT</t>
        </is>
      </c>
      <c r="T96" s="15" t="inlineStr">
        <is>
          <t>Chưa xác minh</t>
        </is>
      </c>
      <c r="U96" s="15" t="inlineStr">
        <is>
          <t>Chưa xác minh</t>
        </is>
      </c>
      <c r="V96" s="15" t="inlineStr">
        <is>
          <t>Chưa xác minh</t>
        </is>
      </c>
      <c r="W96" s="15" t="n"/>
      <c r="X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inlineStr">
        <is>
          <t>DRAFT — CHƯA DUYỆT</t>
        </is>
      </c>
      <c r="T97" s="15" t="inlineStr">
        <is>
          <t>Chưa xác minh</t>
        </is>
      </c>
      <c r="U97" s="15" t="inlineStr">
        <is>
          <t>Chưa xác minh</t>
        </is>
      </c>
      <c r="V97" s="15" t="inlineStr">
        <is>
          <t>Chưa xác minh</t>
        </is>
      </c>
      <c r="W97" s="15" t="n"/>
      <c r="X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inlineStr">
        <is>
          <t>DRAFT — CHƯA DUYỆT</t>
        </is>
      </c>
      <c r="T98" s="15" t="inlineStr">
        <is>
          <t>Chưa xác minh</t>
        </is>
      </c>
      <c r="U98" s="15" t="inlineStr">
        <is>
          <t>Chưa xác minh</t>
        </is>
      </c>
      <c r="V98" s="15" t="inlineStr">
        <is>
          <t>Chưa xác minh</t>
        </is>
      </c>
      <c r="W98" s="15" t="n"/>
      <c r="X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inlineStr">
        <is>
          <t>DRAFT — CHƯA DUYỆT</t>
        </is>
      </c>
      <c r="T99" s="15" t="inlineStr">
        <is>
          <t>Chưa xác minh</t>
        </is>
      </c>
      <c r="U99" s="15" t="inlineStr">
        <is>
          <t>Chưa xác minh</t>
        </is>
      </c>
      <c r="V99" s="15" t="inlineStr">
        <is>
          <t>Chưa xác minh</t>
        </is>
      </c>
      <c r="W99" s="15" t="n"/>
      <c r="X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inlineStr">
        <is>
          <t>DRAFT — CHƯA DUYỆT</t>
        </is>
      </c>
      <c r="T100" s="15" t="inlineStr">
        <is>
          <t>Chưa xác minh</t>
        </is>
      </c>
      <c r="U100" s="15" t="inlineStr">
        <is>
          <t>Chưa xác minh</t>
        </is>
      </c>
      <c r="V100" s="15" t="inlineStr">
        <is>
          <t>Chưa xác minh</t>
        </is>
      </c>
      <c r="W100" s="15" t="n"/>
      <c r="X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inlineStr">
        <is>
          <t>DRAFT — CHƯA DUYỆT</t>
        </is>
      </c>
      <c r="T101" s="15" t="inlineStr">
        <is>
          <t>Chưa xác minh</t>
        </is>
      </c>
      <c r="U101" s="15" t="inlineStr">
        <is>
          <t>Chưa xác minh</t>
        </is>
      </c>
      <c r="V101" s="15" t="inlineStr">
        <is>
          <t>Chưa xác minh</t>
        </is>
      </c>
      <c r="W101" s="15" t="n"/>
      <c r="X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inlineStr">
        <is>
          <t>DRAFT — CHƯA DUYỆT</t>
        </is>
      </c>
      <c r="T102" s="15" t="inlineStr">
        <is>
          <t>Chưa xác minh</t>
        </is>
      </c>
      <c r="U102" s="15" t="inlineStr">
        <is>
          <t>Chưa xác minh</t>
        </is>
      </c>
      <c r="V102" s="15" t="inlineStr">
        <is>
          <t>Chưa xác minh</t>
        </is>
      </c>
      <c r="W102" s="15" t="n"/>
      <c r="X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inlineStr">
        <is>
          <t>DRAFT — CHƯA DUYỆT</t>
        </is>
      </c>
      <c r="T103" s="15" t="inlineStr">
        <is>
          <t>Chưa xác minh</t>
        </is>
      </c>
      <c r="U103" s="15" t="inlineStr">
        <is>
          <t>Chưa xác minh</t>
        </is>
      </c>
      <c r="V103" s="15" t="inlineStr">
        <is>
          <t>Chưa xác minh</t>
        </is>
      </c>
      <c r="W103" s="15" t="n"/>
      <c r="X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inlineStr">
        <is>
          <t>DRAFT — CHƯA DUYỆT</t>
        </is>
      </c>
      <c r="T104" s="15" t="inlineStr">
        <is>
          <t>Chưa xác minh</t>
        </is>
      </c>
      <c r="U104" s="15" t="inlineStr">
        <is>
          <t>Chưa xác minh</t>
        </is>
      </c>
      <c r="V104" s="15" t="inlineStr">
        <is>
          <t>Chưa xác minh</t>
        </is>
      </c>
      <c r="W104" s="15" t="n"/>
      <c r="X104" s="15"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inlineStr">
        <is>
          <t>DRAFT — CHƯA DUYỆT</t>
        </is>
      </c>
      <c r="T105" s="15" t="inlineStr">
        <is>
          <t>Chưa xác minh</t>
        </is>
      </c>
      <c r="U105" s="15" t="inlineStr">
        <is>
          <t>Chưa xác minh</t>
        </is>
      </c>
      <c r="V105" s="15" t="inlineStr">
        <is>
          <t>Chưa xác minh</t>
        </is>
      </c>
      <c r="W105" s="15" t="n"/>
      <c r="X105" s="15"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inlineStr">
        <is>
          <t>DRAFT — CHƯA DUYỆT</t>
        </is>
      </c>
      <c r="T106" s="15" t="inlineStr">
        <is>
          <t>Chưa xác minh</t>
        </is>
      </c>
      <c r="U106" s="15" t="inlineStr">
        <is>
          <t>Chưa xác minh</t>
        </is>
      </c>
      <c r="V106" s="15" t="inlineStr">
        <is>
          <t>Chưa xác minh</t>
        </is>
      </c>
      <c r="W106" s="15" t="n"/>
      <c r="X106" s="15"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inlineStr">
        <is>
          <t>DRAFT — CHƯA DUYỆT</t>
        </is>
      </c>
      <c r="T107" s="15" t="inlineStr">
        <is>
          <t>Chưa xác minh</t>
        </is>
      </c>
      <c r="U107" s="15" t="inlineStr">
        <is>
          <t>Chưa xác minh</t>
        </is>
      </c>
      <c r="V107" s="15" t="inlineStr">
        <is>
          <t>Chưa xác minh</t>
        </is>
      </c>
      <c r="W107" s="15" t="n"/>
      <c r="X107" s="15"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inlineStr">
        <is>
          <t>DRAFT — CHƯA DUYỆT</t>
        </is>
      </c>
      <c r="T108" s="15" t="inlineStr">
        <is>
          <t>Chưa xác minh</t>
        </is>
      </c>
      <c r="U108" s="15" t="inlineStr">
        <is>
          <t>Chưa xác minh</t>
        </is>
      </c>
      <c r="V108" s="15" t="inlineStr">
        <is>
          <t>Chưa xác minh</t>
        </is>
      </c>
      <c r="W108" s="15" t="n"/>
      <c r="X108" s="15"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inlineStr">
        <is>
          <t>DRAFT — CHƯA DUYỆT</t>
        </is>
      </c>
      <c r="T109" s="15" t="inlineStr">
        <is>
          <t>Chưa xác minh</t>
        </is>
      </c>
      <c r="U109" s="15" t="inlineStr">
        <is>
          <t>Chưa xác minh</t>
        </is>
      </c>
      <c r="V109" s="15" t="inlineStr">
        <is>
          <t>Chưa xác minh</t>
        </is>
      </c>
      <c r="W109" s="15" t="n"/>
      <c r="X109" s="15"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inlineStr">
        <is>
          <t>DRAFT — CHƯA DUYỆT</t>
        </is>
      </c>
      <c r="T110" s="15" t="inlineStr">
        <is>
          <t>Chưa xác minh</t>
        </is>
      </c>
      <c r="U110" s="15" t="inlineStr">
        <is>
          <t>Chưa xác minh</t>
        </is>
      </c>
      <c r="V110" s="15" t="inlineStr">
        <is>
          <t>Chưa xác minh</t>
        </is>
      </c>
      <c r="W110" s="15" t="n"/>
      <c r="X110" s="15"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inlineStr">
        <is>
          <t>DRAFT — CHƯA DUYỆT</t>
        </is>
      </c>
      <c r="T111" s="15" t="inlineStr">
        <is>
          <t>Chưa xác minh</t>
        </is>
      </c>
      <c r="U111" s="15" t="inlineStr">
        <is>
          <t>Chưa xác minh</t>
        </is>
      </c>
      <c r="V111" s="15" t="inlineStr">
        <is>
          <t>Chưa xác minh</t>
        </is>
      </c>
      <c r="W111" s="15" t="n"/>
      <c r="X111" s="15"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inlineStr">
        <is>
          <t>DRAFT — CHƯA DUYỆT</t>
        </is>
      </c>
      <c r="T112" s="15" t="inlineStr">
        <is>
          <t>Chưa xác minh</t>
        </is>
      </c>
      <c r="U112" s="15" t="inlineStr">
        <is>
          <t>Chưa xác minh</t>
        </is>
      </c>
      <c r="V112" s="15" t="inlineStr">
        <is>
          <t>Chưa xác minh</t>
        </is>
      </c>
      <c r="W112" s="15" t="n"/>
      <c r="X112" s="15"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inlineStr">
        <is>
          <t>DRAFT — CHƯA DUYỆT</t>
        </is>
      </c>
      <c r="T113" s="15" t="inlineStr">
        <is>
          <t>Chưa xác minh</t>
        </is>
      </c>
      <c r="U113" s="15" t="inlineStr">
        <is>
          <t>Chưa xác minh</t>
        </is>
      </c>
      <c r="V113" s="15" t="inlineStr">
        <is>
          <t>Chưa xác minh</t>
        </is>
      </c>
      <c r="W113" s="15" t="n"/>
      <c r="X113" s="15"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inlineStr">
        <is>
          <t>DRAFT — CHƯA DUYỆT</t>
        </is>
      </c>
      <c r="T114" s="15" t="inlineStr">
        <is>
          <t>Chưa xác minh</t>
        </is>
      </c>
      <c r="U114" s="15" t="inlineStr">
        <is>
          <t>Chưa xác minh</t>
        </is>
      </c>
      <c r="V114" s="15" t="inlineStr">
        <is>
          <t>Chưa xác minh</t>
        </is>
      </c>
      <c r="W114" s="15" t="n"/>
      <c r="X114" s="15"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inlineStr">
        <is>
          <t>DRAFT — CHƯA DUYỆT</t>
        </is>
      </c>
      <c r="T115" s="15" t="inlineStr">
        <is>
          <t>Chưa xác minh</t>
        </is>
      </c>
      <c r="U115" s="15" t="inlineStr">
        <is>
          <t>Chưa xác minh</t>
        </is>
      </c>
      <c r="V115" s="15" t="inlineStr">
        <is>
          <t>Chưa xác minh</t>
        </is>
      </c>
      <c r="W115" s="15" t="n"/>
      <c r="X115" s="15"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inlineStr">
        <is>
          <t>DRAFT — CHƯA DUYỆT</t>
        </is>
      </c>
      <c r="T116" s="15" t="inlineStr">
        <is>
          <t>Chưa xác minh</t>
        </is>
      </c>
      <c r="U116" s="15" t="inlineStr">
        <is>
          <t>Chưa xác minh</t>
        </is>
      </c>
      <c r="V116" s="15" t="inlineStr">
        <is>
          <t>Chưa xác minh</t>
        </is>
      </c>
      <c r="W116" s="15" t="n"/>
      <c r="X116" s="15"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inlineStr">
        <is>
          <t>DRAFT — CHƯA DUYỆT</t>
        </is>
      </c>
      <c r="T117" s="15" t="inlineStr">
        <is>
          <t>Chưa xác minh</t>
        </is>
      </c>
      <c r="U117" s="15" t="inlineStr">
        <is>
          <t>Chưa xác minh</t>
        </is>
      </c>
      <c r="V117" s="15" t="inlineStr">
        <is>
          <t>Chưa xác minh</t>
        </is>
      </c>
      <c r="W117" s="15" t="n"/>
      <c r="X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inlineStr">
        <is>
          <t>DRAFT — CHƯA DUYỆT</t>
        </is>
      </c>
      <c r="T118" s="15" t="inlineStr">
        <is>
          <t>Chưa xác minh</t>
        </is>
      </c>
      <c r="U118" s="15" t="inlineStr">
        <is>
          <t>Chưa xác minh</t>
        </is>
      </c>
      <c r="V118" s="15" t="inlineStr">
        <is>
          <t>Chưa xác minh</t>
        </is>
      </c>
      <c r="W118" s="15" t="n"/>
      <c r="X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inlineStr">
        <is>
          <t>DRAFT — CHƯA DUYỆT</t>
        </is>
      </c>
      <c r="T119" s="15" t="inlineStr">
        <is>
          <t>Chưa xác minh</t>
        </is>
      </c>
      <c r="U119" s="15" t="inlineStr">
        <is>
          <t>Chưa xác minh</t>
        </is>
      </c>
      <c r="V119" s="15" t="inlineStr">
        <is>
          <t>Chưa xác minh</t>
        </is>
      </c>
      <c r="W119" s="15" t="n"/>
      <c r="X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inlineStr">
        <is>
          <t>DRAFT — CHƯA DUYỆT</t>
        </is>
      </c>
      <c r="T120" s="15" t="inlineStr">
        <is>
          <t>Chưa xác minh</t>
        </is>
      </c>
      <c r="U120" s="15" t="inlineStr">
        <is>
          <t>Chưa xác minh</t>
        </is>
      </c>
      <c r="V120" s="15" t="inlineStr">
        <is>
          <t>Chưa xác minh</t>
        </is>
      </c>
      <c r="W120" s="15" t="n"/>
      <c r="X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inlineStr">
        <is>
          <t>DRAFT — CHƯA DUYỆT</t>
        </is>
      </c>
      <c r="T121" s="15" t="inlineStr">
        <is>
          <t>Chưa xác minh</t>
        </is>
      </c>
      <c r="U121" s="15" t="inlineStr">
        <is>
          <t>Chưa xác minh</t>
        </is>
      </c>
      <c r="V121" s="15" t="inlineStr">
        <is>
          <t>Chưa xác minh</t>
        </is>
      </c>
      <c r="W121" s="15" t="n"/>
      <c r="X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inlineStr">
        <is>
          <t>DRAFT — CHƯA DUYỆT</t>
        </is>
      </c>
      <c r="T122" s="15" t="inlineStr">
        <is>
          <t>Chưa xác minh</t>
        </is>
      </c>
      <c r="U122" s="15" t="inlineStr">
        <is>
          <t>Chưa xác minh</t>
        </is>
      </c>
      <c r="V122" s="15" t="inlineStr">
        <is>
          <t>Chưa xác minh</t>
        </is>
      </c>
      <c r="W122" s="15" t="n"/>
      <c r="X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inlineStr">
        <is>
          <t>DRAFT — CHƯA DUYỆT</t>
        </is>
      </c>
      <c r="T123" s="15" t="inlineStr">
        <is>
          <t>Chưa xác minh</t>
        </is>
      </c>
      <c r="U123" s="15" t="inlineStr">
        <is>
          <t>Chưa xác minh</t>
        </is>
      </c>
      <c r="V123" s="15" t="inlineStr">
        <is>
          <t>Chưa xác minh</t>
        </is>
      </c>
      <c r="W123" s="15" t="n"/>
      <c r="X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inlineStr">
        <is>
          <t>DRAFT — CHƯA DUYỆT</t>
        </is>
      </c>
      <c r="T124" s="15" t="inlineStr">
        <is>
          <t>Chưa xác minh</t>
        </is>
      </c>
      <c r="U124" s="15" t="inlineStr">
        <is>
          <t>Chưa xác minh</t>
        </is>
      </c>
      <c r="V124" s="15" t="inlineStr">
        <is>
          <t>Chưa xác minh</t>
        </is>
      </c>
      <c r="W124" s="15" t="n"/>
      <c r="X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inlineStr">
        <is>
          <t>DRAFT — CHƯA DUYỆT</t>
        </is>
      </c>
      <c r="T125" s="15" t="inlineStr">
        <is>
          <t>Chưa xác minh</t>
        </is>
      </c>
      <c r="U125" s="15" t="inlineStr">
        <is>
          <t>Chưa xác minh</t>
        </is>
      </c>
      <c r="V125" s="15" t="inlineStr">
        <is>
          <t>Chưa xác minh</t>
        </is>
      </c>
      <c r="W125" s="15" t="n"/>
      <c r="X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inlineStr">
        <is>
          <t>DRAFT — CHƯA DUYỆT</t>
        </is>
      </c>
      <c r="T126" s="15" t="inlineStr">
        <is>
          <t>Chưa xác minh</t>
        </is>
      </c>
      <c r="U126" s="15" t="inlineStr">
        <is>
          <t>Chưa xác minh</t>
        </is>
      </c>
      <c r="V126" s="15" t="inlineStr">
        <is>
          <t>Chưa xác minh</t>
        </is>
      </c>
      <c r="W126" s="15" t="n"/>
      <c r="X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inlineStr">
        <is>
          <t>DRAFT — CHƯA DUYỆT</t>
        </is>
      </c>
      <c r="T127" s="15" t="inlineStr">
        <is>
          <t>Chưa xác minh</t>
        </is>
      </c>
      <c r="U127" s="15" t="inlineStr">
        <is>
          <t>Chưa xác minh</t>
        </is>
      </c>
      <c r="V127" s="15" t="inlineStr">
        <is>
          <t>Chưa xác minh</t>
        </is>
      </c>
      <c r="W127" s="15" t="n"/>
      <c r="X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inlineStr">
        <is>
          <t>DRAFT — CHƯA DUYỆT</t>
        </is>
      </c>
      <c r="T128" s="15" t="inlineStr">
        <is>
          <t>Chưa xác minh</t>
        </is>
      </c>
      <c r="U128" s="15" t="inlineStr">
        <is>
          <t>Chưa xác minh</t>
        </is>
      </c>
      <c r="V128" s="15" t="inlineStr">
        <is>
          <t>Chưa xác minh</t>
        </is>
      </c>
      <c r="W128" s="15" t="n"/>
      <c r="X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inlineStr">
        <is>
          <t>DRAFT — CHƯA DUYỆT</t>
        </is>
      </c>
      <c r="T129" s="15" t="inlineStr">
        <is>
          <t>Chưa xác minh</t>
        </is>
      </c>
      <c r="U129" s="15" t="inlineStr">
        <is>
          <t>Chưa xác minh</t>
        </is>
      </c>
      <c r="V129" s="15" t="inlineStr">
        <is>
          <t>Chưa xác minh</t>
        </is>
      </c>
      <c r="W129" s="15" t="n"/>
      <c r="X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inlineStr">
        <is>
          <t>DRAFT — CHƯA DUYỆT</t>
        </is>
      </c>
      <c r="T130" s="15" t="inlineStr">
        <is>
          <t>Chưa xác minh</t>
        </is>
      </c>
      <c r="U130" s="15" t="inlineStr">
        <is>
          <t>Chưa xác minh</t>
        </is>
      </c>
      <c r="V130" s="15" t="inlineStr">
        <is>
          <t>Chưa xác minh</t>
        </is>
      </c>
      <c r="W130" s="15" t="n"/>
      <c r="X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inlineStr">
        <is>
          <t>DRAFT — CHƯA DUYỆT</t>
        </is>
      </c>
      <c r="T131" s="15" t="inlineStr">
        <is>
          <t>Chưa xác minh</t>
        </is>
      </c>
      <c r="U131" s="15" t="inlineStr">
        <is>
          <t>Chưa xác minh</t>
        </is>
      </c>
      <c r="V131" s="15" t="inlineStr">
        <is>
          <t>Chưa xác minh</t>
        </is>
      </c>
      <c r="W131" s="15" t="n"/>
      <c r="X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inlineStr">
        <is>
          <t>DRAFT — CHƯA DUYỆT</t>
        </is>
      </c>
      <c r="T132" s="15" t="inlineStr">
        <is>
          <t>Chưa xác minh</t>
        </is>
      </c>
      <c r="U132" s="15" t="inlineStr">
        <is>
          <t>Chưa xác minh</t>
        </is>
      </c>
      <c r="V132" s="15" t="inlineStr">
        <is>
          <t>Chưa xác minh</t>
        </is>
      </c>
      <c r="W132" s="15" t="n"/>
      <c r="X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inlineStr">
        <is>
          <t>DRAFT — CHƯA DUYỆT</t>
        </is>
      </c>
      <c r="T133" s="15" t="inlineStr">
        <is>
          <t>Chưa xác minh</t>
        </is>
      </c>
      <c r="U133" s="15" t="inlineStr">
        <is>
          <t>Chưa xác minh</t>
        </is>
      </c>
      <c r="V133" s="15" t="inlineStr">
        <is>
          <t>Chưa xác minh</t>
        </is>
      </c>
      <c r="W133" s="15" t="n"/>
      <c r="X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inlineStr">
        <is>
          <t>DRAFT — CHƯA DUYỆT</t>
        </is>
      </c>
      <c r="T134" s="15" t="inlineStr">
        <is>
          <t>Chưa xác minh</t>
        </is>
      </c>
      <c r="U134" s="15" t="inlineStr">
        <is>
          <t>Chưa xác minh</t>
        </is>
      </c>
      <c r="V134" s="15" t="inlineStr">
        <is>
          <t>Chưa xác minh</t>
        </is>
      </c>
      <c r="W134" s="15" t="n"/>
      <c r="X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inlineStr">
        <is>
          <t>DRAFT — CHƯA DUYỆT</t>
        </is>
      </c>
      <c r="T135" s="15" t="inlineStr">
        <is>
          <t>Chưa xác minh</t>
        </is>
      </c>
      <c r="U135" s="15" t="inlineStr">
        <is>
          <t>Chưa xác minh</t>
        </is>
      </c>
      <c r="V135" s="15" t="inlineStr">
        <is>
          <t>Chưa xác minh</t>
        </is>
      </c>
      <c r="W135" s="15" t="n"/>
      <c r="X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inlineStr">
        <is>
          <t>DRAFT — CHƯA DUYỆT</t>
        </is>
      </c>
      <c r="T136" s="15" t="inlineStr">
        <is>
          <t>Chưa xác minh</t>
        </is>
      </c>
      <c r="U136" s="15" t="inlineStr">
        <is>
          <t>Chưa xác minh</t>
        </is>
      </c>
      <c r="V136" s="15" t="inlineStr">
        <is>
          <t>Chưa xác minh</t>
        </is>
      </c>
      <c r="W136" s="15" t="n"/>
      <c r="X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inlineStr">
        <is>
          <t>DRAFT — CHƯA DUYỆT</t>
        </is>
      </c>
      <c r="T137" s="15" t="inlineStr">
        <is>
          <t>Chưa xác minh</t>
        </is>
      </c>
      <c r="U137" s="15" t="inlineStr">
        <is>
          <t>Chưa xác minh</t>
        </is>
      </c>
      <c r="V137" s="15" t="inlineStr">
        <is>
          <t>Chưa xác minh</t>
        </is>
      </c>
      <c r="W137" s="15" t="n"/>
      <c r="X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inlineStr">
        <is>
          <t>DRAFT — CHƯA DUYỆT</t>
        </is>
      </c>
      <c r="T138" s="15" t="inlineStr">
        <is>
          <t>Chưa xác minh</t>
        </is>
      </c>
      <c r="U138" s="15" t="inlineStr">
        <is>
          <t>Chưa xác minh</t>
        </is>
      </c>
      <c r="V138" s="15" t="inlineStr">
        <is>
          <t>Chưa xác minh</t>
        </is>
      </c>
      <c r="W138" s="15" t="n"/>
      <c r="X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inlineStr">
        <is>
          <t>DRAFT — CHƯA DUYỆT</t>
        </is>
      </c>
      <c r="T139" s="15" t="inlineStr">
        <is>
          <t>Chưa xác minh</t>
        </is>
      </c>
      <c r="U139" s="15" t="inlineStr">
        <is>
          <t>Chưa xác minh</t>
        </is>
      </c>
      <c r="V139" s="15" t="inlineStr">
        <is>
          <t>Chưa xác minh</t>
        </is>
      </c>
      <c r="W139" s="15" t="n"/>
      <c r="X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inlineStr">
        <is>
          <t>DRAFT — CHƯA DUYỆT</t>
        </is>
      </c>
      <c r="T140" s="15" t="inlineStr">
        <is>
          <t>Chưa xác minh</t>
        </is>
      </c>
      <c r="U140" s="15" t="inlineStr">
        <is>
          <t>Chưa xác minh</t>
        </is>
      </c>
      <c r="V140" s="15" t="inlineStr">
        <is>
          <t>Chưa xác minh</t>
        </is>
      </c>
      <c r="W140" s="15" t="n"/>
      <c r="X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inlineStr">
        <is>
          <t>DRAFT — CHƯA DUYỆT</t>
        </is>
      </c>
      <c r="T141" s="15" t="inlineStr">
        <is>
          <t>Chưa xác minh</t>
        </is>
      </c>
      <c r="U141" s="15" t="inlineStr">
        <is>
          <t>Chưa xác minh</t>
        </is>
      </c>
      <c r="V141" s="15" t="inlineStr">
        <is>
          <t>Chưa xác minh</t>
        </is>
      </c>
      <c r="W141" s="15" t="n"/>
      <c r="X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inlineStr">
        <is>
          <t>DRAFT — CHƯA DUYỆT</t>
        </is>
      </c>
      <c r="T142" s="15" t="inlineStr">
        <is>
          <t>Chưa xác minh</t>
        </is>
      </c>
      <c r="U142" s="15" t="inlineStr">
        <is>
          <t>Chưa xác minh</t>
        </is>
      </c>
      <c r="V142" s="15" t="inlineStr">
        <is>
          <t>Chưa xác minh</t>
        </is>
      </c>
      <c r="W142" s="15" t="n"/>
      <c r="X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inlineStr">
        <is>
          <t>DRAFT — CHƯA DUYỆT</t>
        </is>
      </c>
      <c r="T143" s="15" t="inlineStr">
        <is>
          <t>Chưa xác minh</t>
        </is>
      </c>
      <c r="U143" s="15" t="inlineStr">
        <is>
          <t>Chưa xác minh</t>
        </is>
      </c>
      <c r="V143" s="15" t="inlineStr">
        <is>
          <t>Chưa xác minh</t>
        </is>
      </c>
      <c r="W143" s="15" t="n"/>
      <c r="X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inlineStr">
        <is>
          <t>DRAFT — CHƯA DUYỆT</t>
        </is>
      </c>
      <c r="T144" s="15" t="inlineStr">
        <is>
          <t>Chưa xác minh</t>
        </is>
      </c>
      <c r="U144" s="15" t="inlineStr">
        <is>
          <t>Chưa xác minh</t>
        </is>
      </c>
      <c r="V144" s="15" t="inlineStr">
        <is>
          <t>Chưa xác minh</t>
        </is>
      </c>
      <c r="W144" s="15" t="n"/>
      <c r="X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inlineStr">
        <is>
          <t>DRAFT — CHƯA DUYỆT</t>
        </is>
      </c>
      <c r="T145" s="15" t="inlineStr">
        <is>
          <t>Chưa xác minh</t>
        </is>
      </c>
      <c r="U145" s="15" t="inlineStr">
        <is>
          <t>Chưa xác minh</t>
        </is>
      </c>
      <c r="V145" s="15" t="inlineStr">
        <is>
          <t>Chưa xác minh</t>
        </is>
      </c>
      <c r="W145" s="15" t="n"/>
      <c r="X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inlineStr">
        <is>
          <t>DRAFT — CHƯA DUYỆT</t>
        </is>
      </c>
      <c r="T146" s="15" t="inlineStr">
        <is>
          <t>Chưa xác minh</t>
        </is>
      </c>
      <c r="U146" s="15" t="inlineStr">
        <is>
          <t>Chưa xác minh</t>
        </is>
      </c>
      <c r="V146" s="15" t="inlineStr">
        <is>
          <t>Chưa xác minh</t>
        </is>
      </c>
      <c r="W146" s="15" t="n"/>
      <c r="X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inlineStr">
        <is>
          <t>DRAFT — CHƯA DUYỆT</t>
        </is>
      </c>
      <c r="T147" s="15" t="inlineStr">
        <is>
          <t>Chưa xác minh</t>
        </is>
      </c>
      <c r="U147" s="15" t="inlineStr">
        <is>
          <t>Chưa xác minh</t>
        </is>
      </c>
      <c r="V147" s="15" t="inlineStr">
        <is>
          <t>Chưa xác minh</t>
        </is>
      </c>
      <c r="W147" s="15" t="n"/>
      <c r="X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inlineStr">
        <is>
          <t>DRAFT — CHƯA DUYỆT</t>
        </is>
      </c>
      <c r="T148" s="15" t="inlineStr">
        <is>
          <t>Chưa xác minh</t>
        </is>
      </c>
      <c r="U148" s="15" t="inlineStr">
        <is>
          <t>Chưa xác minh</t>
        </is>
      </c>
      <c r="V148" s="15" t="inlineStr">
        <is>
          <t>Chưa xác minh</t>
        </is>
      </c>
      <c r="W148" s="15" t="n"/>
      <c r="X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inlineStr">
        <is>
          <t>DRAFT — CHƯA DUYỆT</t>
        </is>
      </c>
      <c r="T149" s="15" t="inlineStr">
        <is>
          <t>Chưa xác minh</t>
        </is>
      </c>
      <c r="U149" s="15" t="inlineStr">
        <is>
          <t>Chưa xác minh</t>
        </is>
      </c>
      <c r="V149" s="15" t="inlineStr">
        <is>
          <t>Chưa xác minh</t>
        </is>
      </c>
      <c r="W149" s="15" t="n"/>
      <c r="X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inlineStr">
        <is>
          <t>DRAFT — CHƯA DUYỆT</t>
        </is>
      </c>
      <c r="T150" s="15" t="inlineStr">
        <is>
          <t>Chưa xác minh</t>
        </is>
      </c>
      <c r="U150" s="15" t="inlineStr">
        <is>
          <t>Chưa xác minh</t>
        </is>
      </c>
      <c r="V150" s="15" t="inlineStr">
        <is>
          <t>Chưa xác minh</t>
        </is>
      </c>
      <c r="W150" s="15" t="n"/>
      <c r="X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inlineStr">
        <is>
          <t>DRAFT — CHƯA DUYỆT</t>
        </is>
      </c>
      <c r="T151" s="15" t="inlineStr">
        <is>
          <t>Chưa xác minh</t>
        </is>
      </c>
      <c r="U151" s="15" t="inlineStr">
        <is>
          <t>Chưa xác minh</t>
        </is>
      </c>
      <c r="V151" s="15" t="inlineStr">
        <is>
          <t>Chưa xác minh</t>
        </is>
      </c>
      <c r="W151" s="15" t="n"/>
      <c r="X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inlineStr">
        <is>
          <t>DRAFT — CHƯA DUYỆT</t>
        </is>
      </c>
      <c r="T152" s="15" t="inlineStr">
        <is>
          <t>Chưa xác minh</t>
        </is>
      </c>
      <c r="U152" s="15" t="inlineStr">
        <is>
          <t>Chưa xác minh</t>
        </is>
      </c>
      <c r="V152" s="15" t="inlineStr">
        <is>
          <t>Chưa xác minh</t>
        </is>
      </c>
      <c r="W152" s="15" t="n"/>
      <c r="X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inlineStr">
        <is>
          <t>DRAFT — CHƯA DUYỆT</t>
        </is>
      </c>
      <c r="T153" s="15" t="inlineStr">
        <is>
          <t>Chưa xác minh</t>
        </is>
      </c>
      <c r="U153" s="15" t="inlineStr">
        <is>
          <t>Chưa xác minh</t>
        </is>
      </c>
      <c r="V153" s="15" t="inlineStr">
        <is>
          <t>Chưa xác minh</t>
        </is>
      </c>
      <c r="W153" s="15" t="n"/>
      <c r="X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inlineStr">
        <is>
          <t>DRAFT — CHƯA DUYỆT</t>
        </is>
      </c>
      <c r="T154" s="15" t="inlineStr">
        <is>
          <t>Chưa xác minh</t>
        </is>
      </c>
      <c r="U154" s="15" t="inlineStr">
        <is>
          <t>Chưa xác minh</t>
        </is>
      </c>
      <c r="V154" s="15" t="inlineStr">
        <is>
          <t>Chưa xác minh</t>
        </is>
      </c>
      <c r="W154" s="15" t="n"/>
      <c r="X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inlineStr">
        <is>
          <t>DRAFT — CHƯA DUYỆT</t>
        </is>
      </c>
      <c r="T155" s="15" t="inlineStr">
        <is>
          <t>Chưa xác minh</t>
        </is>
      </c>
      <c r="U155" s="15" t="inlineStr">
        <is>
          <t>Chưa xác minh</t>
        </is>
      </c>
      <c r="V155" s="15" t="inlineStr">
        <is>
          <t>Chưa xác minh</t>
        </is>
      </c>
      <c r="W155" s="15" t="n"/>
      <c r="X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inlineStr">
        <is>
          <t>DRAFT — CHƯA DUYỆT</t>
        </is>
      </c>
      <c r="T156" s="15" t="inlineStr">
        <is>
          <t>Chưa xác minh</t>
        </is>
      </c>
      <c r="U156" s="15" t="inlineStr">
        <is>
          <t>Chưa xác minh</t>
        </is>
      </c>
      <c r="V156" s="15" t="inlineStr">
        <is>
          <t>Chưa xác minh</t>
        </is>
      </c>
      <c r="W156" s="15" t="n"/>
      <c r="X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inlineStr">
        <is>
          <t>DRAFT — CHƯA DUYỆT</t>
        </is>
      </c>
      <c r="T157" s="15" t="inlineStr">
        <is>
          <t>Chưa xác minh</t>
        </is>
      </c>
      <c r="U157" s="15" t="inlineStr">
        <is>
          <t>Chưa xác minh</t>
        </is>
      </c>
      <c r="V157" s="15" t="inlineStr">
        <is>
          <t>Chưa xác minh</t>
        </is>
      </c>
      <c r="W157" s="15" t="n"/>
      <c r="X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inlineStr">
        <is>
          <t>DRAFT — CHƯA DUYỆT</t>
        </is>
      </c>
      <c r="T158" s="15" t="inlineStr">
        <is>
          <t>Chưa xác minh</t>
        </is>
      </c>
      <c r="U158" s="15" t="inlineStr">
        <is>
          <t>Chưa xác minh</t>
        </is>
      </c>
      <c r="V158" s="15" t="inlineStr">
        <is>
          <t>Chưa xác minh</t>
        </is>
      </c>
      <c r="W158" s="15" t="n"/>
      <c r="X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inlineStr">
        <is>
          <t>DRAFT — CHƯA DUYỆT</t>
        </is>
      </c>
      <c r="T159" s="15" t="inlineStr">
        <is>
          <t>Chưa xác minh</t>
        </is>
      </c>
      <c r="U159" s="15" t="inlineStr">
        <is>
          <t>Chưa xác minh</t>
        </is>
      </c>
      <c r="V159" s="15" t="inlineStr">
        <is>
          <t>Chưa xác minh</t>
        </is>
      </c>
      <c r="W159" s="15" t="n"/>
      <c r="X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inlineStr">
        <is>
          <t>DRAFT — CHƯA DUYỆT</t>
        </is>
      </c>
      <c r="T160" s="15" t="inlineStr">
        <is>
          <t>Chưa xác minh</t>
        </is>
      </c>
      <c r="U160" s="15" t="inlineStr">
        <is>
          <t>Chưa xác minh</t>
        </is>
      </c>
      <c r="V160" s="15" t="inlineStr">
        <is>
          <t>Chưa xác minh</t>
        </is>
      </c>
      <c r="W160" s="15" t="n"/>
      <c r="X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inlineStr">
        <is>
          <t>DRAFT — CHƯA DUYỆT</t>
        </is>
      </c>
      <c r="T161" s="15" t="inlineStr">
        <is>
          <t>Chưa xác minh</t>
        </is>
      </c>
      <c r="U161" s="15" t="inlineStr">
        <is>
          <t>Chưa xác minh</t>
        </is>
      </c>
      <c r="V161" s="15" t="inlineStr">
        <is>
          <t>Chưa xác minh</t>
        </is>
      </c>
      <c r="W161" s="15" t="n"/>
      <c r="X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inlineStr">
        <is>
          <t>DRAFT — CHƯA DUYỆT</t>
        </is>
      </c>
      <c r="T162" s="15" t="inlineStr">
        <is>
          <t>Chưa xác minh</t>
        </is>
      </c>
      <c r="U162" s="15" t="inlineStr">
        <is>
          <t>Chưa xác minh</t>
        </is>
      </c>
      <c r="V162" s="15" t="inlineStr">
        <is>
          <t>Chưa xác minh</t>
        </is>
      </c>
      <c r="W162" s="15" t="n"/>
      <c r="X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inlineStr">
        <is>
          <t>DRAFT — CHƯA DUYỆT</t>
        </is>
      </c>
      <c r="T163" s="15" t="inlineStr">
        <is>
          <t>Chưa xác minh</t>
        </is>
      </c>
      <c r="U163" s="15" t="inlineStr">
        <is>
          <t>Chưa xác minh</t>
        </is>
      </c>
      <c r="V163" s="15" t="inlineStr">
        <is>
          <t>Chưa xác minh</t>
        </is>
      </c>
      <c r="W163" s="15" t="n"/>
      <c r="X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inlineStr">
        <is>
          <t>DRAFT — CHƯA DUYỆT</t>
        </is>
      </c>
      <c r="T164" s="15" t="inlineStr">
        <is>
          <t>Chưa xác minh</t>
        </is>
      </c>
      <c r="U164" s="15" t="inlineStr">
        <is>
          <t>Chưa xác minh</t>
        </is>
      </c>
      <c r="V164" s="15" t="inlineStr">
        <is>
          <t>Chưa xác minh</t>
        </is>
      </c>
      <c r="W164" s="15" t="n"/>
      <c r="X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inlineStr">
        <is>
          <t>DRAFT — CHƯA DUYỆT</t>
        </is>
      </c>
      <c r="T165" s="15" t="inlineStr">
        <is>
          <t>Chưa xác minh</t>
        </is>
      </c>
      <c r="U165" s="15" t="inlineStr">
        <is>
          <t>Chưa xác minh</t>
        </is>
      </c>
      <c r="V165" s="15" t="inlineStr">
        <is>
          <t>Chưa xác minh</t>
        </is>
      </c>
      <c r="W165" s="15" t="n"/>
      <c r="X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inlineStr">
        <is>
          <t>DRAFT — CHƯA DUYỆT</t>
        </is>
      </c>
      <c r="T166" s="15" t="inlineStr">
        <is>
          <t>Chưa xác minh</t>
        </is>
      </c>
      <c r="U166" s="15" t="inlineStr">
        <is>
          <t>Chưa xác minh</t>
        </is>
      </c>
      <c r="V166" s="15" t="inlineStr">
        <is>
          <t>Chưa xác minh</t>
        </is>
      </c>
      <c r="W166" s="15" t="n"/>
      <c r="X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inlineStr">
        <is>
          <t>DRAFT — CHƯA DUYỆT</t>
        </is>
      </c>
      <c r="T167" s="15" t="inlineStr">
        <is>
          <t>Chưa xác minh</t>
        </is>
      </c>
      <c r="U167" s="15" t="inlineStr">
        <is>
          <t>Chưa xác minh</t>
        </is>
      </c>
      <c r="V167" s="15" t="inlineStr">
        <is>
          <t>Chưa xác minh</t>
        </is>
      </c>
      <c r="W167" s="15" t="n"/>
      <c r="X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inlineStr">
        <is>
          <t>DRAFT — CHƯA DUYỆT</t>
        </is>
      </c>
      <c r="T168" s="15" t="inlineStr">
        <is>
          <t>Chưa xác minh</t>
        </is>
      </c>
      <c r="U168" s="15" t="inlineStr">
        <is>
          <t>Chưa xác minh</t>
        </is>
      </c>
      <c r="V168" s="15" t="inlineStr">
        <is>
          <t>Chưa xác minh</t>
        </is>
      </c>
      <c r="W168" s="15" t="n"/>
      <c r="X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inlineStr">
        <is>
          <t>DRAFT — CHƯA DUYỆT</t>
        </is>
      </c>
      <c r="T169" s="15" t="inlineStr">
        <is>
          <t>Chưa xác minh</t>
        </is>
      </c>
      <c r="U169" s="15" t="inlineStr">
        <is>
          <t>Chưa xác minh</t>
        </is>
      </c>
      <c r="V169" s="15" t="inlineStr">
        <is>
          <t>Chưa xác minh</t>
        </is>
      </c>
      <c r="W169" s="15" t="n"/>
      <c r="X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inlineStr">
        <is>
          <t>DRAFT — CHƯA DUYỆT</t>
        </is>
      </c>
      <c r="T170" s="15" t="inlineStr">
        <is>
          <t>Chưa xác minh</t>
        </is>
      </c>
      <c r="U170" s="15" t="inlineStr">
        <is>
          <t>Chưa xác minh</t>
        </is>
      </c>
      <c r="V170" s="15" t="inlineStr">
        <is>
          <t>Chưa xác minh</t>
        </is>
      </c>
      <c r="W170" s="15" t="n"/>
      <c r="X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inlineStr">
        <is>
          <t>DRAFT — CHƯA DUYỆT</t>
        </is>
      </c>
      <c r="T171" s="15" t="inlineStr">
        <is>
          <t>Chưa xác minh</t>
        </is>
      </c>
      <c r="U171" s="15" t="inlineStr">
        <is>
          <t>Chưa xác minh</t>
        </is>
      </c>
      <c r="V171" s="15" t="inlineStr">
        <is>
          <t>Chưa xác minh</t>
        </is>
      </c>
      <c r="W171" s="15" t="n"/>
      <c r="X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inlineStr">
        <is>
          <t>DRAFT — CHƯA DUYỆT</t>
        </is>
      </c>
      <c r="T172" s="15" t="inlineStr">
        <is>
          <t>Chưa xác minh</t>
        </is>
      </c>
      <c r="U172" s="15" t="inlineStr">
        <is>
          <t>Chưa xác minh</t>
        </is>
      </c>
      <c r="V172" s="15" t="inlineStr">
        <is>
          <t>Chưa xác minh</t>
        </is>
      </c>
      <c r="W172" s="15" t="n"/>
      <c r="X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inlineStr">
        <is>
          <t>DRAFT — CHƯA DUYỆT</t>
        </is>
      </c>
      <c r="T173" s="15" t="inlineStr">
        <is>
          <t>Chưa xác minh</t>
        </is>
      </c>
      <c r="U173" s="15" t="inlineStr">
        <is>
          <t>Chưa xác minh</t>
        </is>
      </c>
      <c r="V173" s="15" t="inlineStr">
        <is>
          <t>Chưa xác minh</t>
        </is>
      </c>
      <c r="W173" s="15" t="n"/>
      <c r="X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inlineStr">
        <is>
          <t>DRAFT — CHƯA DUYỆT</t>
        </is>
      </c>
      <c r="T174" s="15" t="inlineStr">
        <is>
          <t>Chưa xác minh</t>
        </is>
      </c>
      <c r="U174" s="15" t="inlineStr">
        <is>
          <t>Chưa xác minh</t>
        </is>
      </c>
      <c r="V174" s="15" t="inlineStr">
        <is>
          <t>Chưa xác minh</t>
        </is>
      </c>
      <c r="W174" s="15" t="n"/>
      <c r="X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inlineStr">
        <is>
          <t>DRAFT — CHƯA DUYỆT</t>
        </is>
      </c>
      <c r="T175" s="15" t="inlineStr">
        <is>
          <t>Chưa xác minh</t>
        </is>
      </c>
      <c r="U175" s="15" t="inlineStr">
        <is>
          <t>Chưa xác minh</t>
        </is>
      </c>
      <c r="V175" s="15" t="inlineStr">
        <is>
          <t>Chưa xác minh</t>
        </is>
      </c>
      <c r="W175" s="15" t="n"/>
      <c r="X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inlineStr">
        <is>
          <t>DRAFT — CHƯA DUYỆT</t>
        </is>
      </c>
      <c r="T176" s="15" t="inlineStr">
        <is>
          <t>Chưa xác minh</t>
        </is>
      </c>
      <c r="U176" s="15" t="inlineStr">
        <is>
          <t>Chưa xác minh</t>
        </is>
      </c>
      <c r="V176" s="15" t="inlineStr">
        <is>
          <t>Chưa xác minh</t>
        </is>
      </c>
      <c r="W176" s="15" t="n"/>
      <c r="X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inlineStr">
        <is>
          <t>DRAFT — CHƯA DUYỆT</t>
        </is>
      </c>
      <c r="T177" s="15" t="inlineStr">
        <is>
          <t>Chưa xác minh</t>
        </is>
      </c>
      <c r="U177" s="15" t="inlineStr">
        <is>
          <t>Chưa xác minh</t>
        </is>
      </c>
      <c r="V177" s="15" t="inlineStr">
        <is>
          <t>Chưa xác minh</t>
        </is>
      </c>
      <c r="W177" s="15" t="n"/>
      <c r="X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inlineStr">
        <is>
          <t>DRAFT — CHƯA DUYỆT</t>
        </is>
      </c>
      <c r="T178" s="15" t="inlineStr">
        <is>
          <t>Chưa xác minh</t>
        </is>
      </c>
      <c r="U178" s="15" t="inlineStr">
        <is>
          <t>Chưa xác minh</t>
        </is>
      </c>
      <c r="V178" s="15" t="inlineStr">
        <is>
          <t>Chưa xác minh</t>
        </is>
      </c>
      <c r="W178" s="15" t="n"/>
      <c r="X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inlineStr">
        <is>
          <t>DRAFT — CHƯA DUYỆT</t>
        </is>
      </c>
      <c r="T179" s="15" t="inlineStr">
        <is>
          <t>Chưa xác minh</t>
        </is>
      </c>
      <c r="U179" s="15" t="inlineStr">
        <is>
          <t>Chưa xác minh</t>
        </is>
      </c>
      <c r="V179" s="15" t="inlineStr">
        <is>
          <t>Chưa xác minh</t>
        </is>
      </c>
      <c r="W179" s="15" t="n"/>
      <c r="X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inlineStr">
        <is>
          <t>DRAFT — CHƯA DUYỆT</t>
        </is>
      </c>
      <c r="T180" s="15" t="inlineStr">
        <is>
          <t>Chưa xác minh</t>
        </is>
      </c>
      <c r="U180" s="15" t="inlineStr">
        <is>
          <t>Chưa xác minh</t>
        </is>
      </c>
      <c r="V180" s="15" t="inlineStr">
        <is>
          <t>Chưa xác minh</t>
        </is>
      </c>
      <c r="W180" s="15" t="n"/>
      <c r="X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inlineStr">
        <is>
          <t>DRAFT — CHƯA DUYỆT</t>
        </is>
      </c>
      <c r="T181" s="15" t="inlineStr">
        <is>
          <t>Chưa xác minh</t>
        </is>
      </c>
      <c r="U181" s="15" t="inlineStr">
        <is>
          <t>Chưa xác minh</t>
        </is>
      </c>
      <c r="V181" s="15" t="inlineStr">
        <is>
          <t>Chưa xác minh</t>
        </is>
      </c>
      <c r="W181" s="15" t="n"/>
      <c r="X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inlineStr">
        <is>
          <t>DRAFT — CHƯA DUYỆT</t>
        </is>
      </c>
      <c r="T182" s="15" t="inlineStr">
        <is>
          <t>Chưa xác minh</t>
        </is>
      </c>
      <c r="U182" s="15" t="inlineStr">
        <is>
          <t>Chưa xác minh</t>
        </is>
      </c>
      <c r="V182" s="15" t="inlineStr">
        <is>
          <t>Chưa xác minh</t>
        </is>
      </c>
      <c r="W182" s="15" t="n"/>
      <c r="X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inlineStr">
        <is>
          <t>DRAFT — CHƯA DUYỆT</t>
        </is>
      </c>
      <c r="T183" s="15" t="inlineStr">
        <is>
          <t>Chưa xác minh</t>
        </is>
      </c>
      <c r="U183" s="15" t="inlineStr">
        <is>
          <t>Chưa xác minh</t>
        </is>
      </c>
      <c r="V183" s="15" t="inlineStr">
        <is>
          <t>Chưa xác minh</t>
        </is>
      </c>
      <c r="W183" s="15" t="n"/>
      <c r="X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inlineStr">
        <is>
          <t>DRAFT — CHƯA DUYỆT</t>
        </is>
      </c>
      <c r="T184" s="15" t="inlineStr">
        <is>
          <t>Chưa xác minh</t>
        </is>
      </c>
      <c r="U184" s="15" t="inlineStr">
        <is>
          <t>Chưa xác minh</t>
        </is>
      </c>
      <c r="V184" s="15" t="inlineStr">
        <is>
          <t>Chưa xác minh</t>
        </is>
      </c>
      <c r="W184" s="15" t="n"/>
      <c r="X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inlineStr">
        <is>
          <t>DRAFT — CHƯA DUYỆT</t>
        </is>
      </c>
      <c r="T185" s="15" t="inlineStr">
        <is>
          <t>Chưa xác minh</t>
        </is>
      </c>
      <c r="U185" s="15" t="inlineStr">
        <is>
          <t>Chưa xác minh</t>
        </is>
      </c>
      <c r="V185" s="15" t="inlineStr">
        <is>
          <t>Chưa xác minh</t>
        </is>
      </c>
      <c r="W185" s="15" t="n"/>
      <c r="X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inlineStr">
        <is>
          <t>DRAFT — CHƯA DUYỆT</t>
        </is>
      </c>
      <c r="T186" s="15" t="inlineStr">
        <is>
          <t>Chưa xác minh</t>
        </is>
      </c>
      <c r="U186" s="15" t="inlineStr">
        <is>
          <t>Chưa xác minh</t>
        </is>
      </c>
      <c r="V186" s="15" t="inlineStr">
        <is>
          <t>Chưa xác minh</t>
        </is>
      </c>
      <c r="W186" s="15" t="n"/>
      <c r="X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inlineStr">
        <is>
          <t>DRAFT — CHƯA DUYỆT</t>
        </is>
      </c>
      <c r="T187" s="15" t="inlineStr">
        <is>
          <t>Chưa xác minh</t>
        </is>
      </c>
      <c r="U187" s="15" t="inlineStr">
        <is>
          <t>Chưa xác minh</t>
        </is>
      </c>
      <c r="V187" s="15" t="inlineStr">
        <is>
          <t>Chưa xác minh</t>
        </is>
      </c>
      <c r="W187" s="15" t="n"/>
      <c r="X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inlineStr">
        <is>
          <t>DRAFT — CHƯA DUYỆT</t>
        </is>
      </c>
      <c r="T188" s="15" t="inlineStr">
        <is>
          <t>Chưa xác minh</t>
        </is>
      </c>
      <c r="U188" s="15" t="inlineStr">
        <is>
          <t>Chưa xác minh</t>
        </is>
      </c>
      <c r="V188" s="15" t="inlineStr">
        <is>
          <t>Chưa xác minh</t>
        </is>
      </c>
      <c r="W188" s="15" t="n"/>
      <c r="X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inlineStr">
        <is>
          <t>DRAFT — CHƯA DUYỆT</t>
        </is>
      </c>
      <c r="T189" s="15" t="inlineStr">
        <is>
          <t>Chưa xác minh</t>
        </is>
      </c>
      <c r="U189" s="15" t="inlineStr">
        <is>
          <t>Chưa xác minh</t>
        </is>
      </c>
      <c r="V189" s="15" t="inlineStr">
        <is>
          <t>Chưa xác minh</t>
        </is>
      </c>
      <c r="W189" s="15" t="n"/>
      <c r="X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inlineStr">
        <is>
          <t>DRAFT — CHƯA DUYỆT</t>
        </is>
      </c>
      <c r="T190" s="15" t="inlineStr">
        <is>
          <t>Chưa xác minh</t>
        </is>
      </c>
      <c r="U190" s="15" t="inlineStr">
        <is>
          <t>Chưa xác minh</t>
        </is>
      </c>
      <c r="V190" s="15" t="inlineStr">
        <is>
          <t>Chưa xác minh</t>
        </is>
      </c>
      <c r="W190" s="15" t="n"/>
      <c r="X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inlineStr">
        <is>
          <t>DRAFT — CHƯA DUYỆT</t>
        </is>
      </c>
      <c r="T191" s="15" t="inlineStr">
        <is>
          <t>Chưa xác minh</t>
        </is>
      </c>
      <c r="U191" s="15" t="inlineStr">
        <is>
          <t>Chưa xác minh</t>
        </is>
      </c>
      <c r="V191" s="15" t="inlineStr">
        <is>
          <t>Chưa xác minh</t>
        </is>
      </c>
      <c r="W191" s="15" t="n"/>
      <c r="X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inlineStr">
        <is>
          <t>DRAFT — CHƯA DUYỆT</t>
        </is>
      </c>
      <c r="T192" s="15" t="inlineStr">
        <is>
          <t>Chưa xác minh</t>
        </is>
      </c>
      <c r="U192" s="15" t="inlineStr">
        <is>
          <t>Chưa xác minh</t>
        </is>
      </c>
      <c r="V192" s="15" t="inlineStr">
        <is>
          <t>Chưa xác minh</t>
        </is>
      </c>
      <c r="W192" s="15" t="n"/>
      <c r="X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inlineStr">
        <is>
          <t>DRAFT — CHƯA DUYỆT</t>
        </is>
      </c>
      <c r="T193" s="15" t="inlineStr">
        <is>
          <t>Chưa xác minh</t>
        </is>
      </c>
      <c r="U193" s="15" t="inlineStr">
        <is>
          <t>Chưa xác minh</t>
        </is>
      </c>
      <c r="V193" s="15" t="inlineStr">
        <is>
          <t>Chưa xác minh</t>
        </is>
      </c>
      <c r="W193" s="15" t="n"/>
      <c r="X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inlineStr">
        <is>
          <t>DRAFT — CHƯA DUYỆT</t>
        </is>
      </c>
      <c r="T194" s="15" t="inlineStr">
        <is>
          <t>Chưa xác minh</t>
        </is>
      </c>
      <c r="U194" s="15" t="inlineStr">
        <is>
          <t>Chưa xác minh</t>
        </is>
      </c>
      <c r="V194" s="15" t="inlineStr">
        <is>
          <t>Chưa xác minh</t>
        </is>
      </c>
      <c r="W194" s="15" t="n"/>
      <c r="X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inlineStr">
        <is>
          <t>DRAFT — CHƯA DUYỆT</t>
        </is>
      </c>
      <c r="T195" s="15" t="inlineStr">
        <is>
          <t>Chưa xác minh</t>
        </is>
      </c>
      <c r="U195" s="15" t="inlineStr">
        <is>
          <t>Chưa xác minh</t>
        </is>
      </c>
      <c r="V195" s="15" t="inlineStr">
        <is>
          <t>Chưa xác minh</t>
        </is>
      </c>
      <c r="W195" s="15" t="n"/>
      <c r="X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inlineStr">
        <is>
          <t>DRAFT — CHƯA DUYỆT</t>
        </is>
      </c>
      <c r="T196" s="15" t="inlineStr">
        <is>
          <t>Chưa xác minh</t>
        </is>
      </c>
      <c r="U196" s="15" t="inlineStr">
        <is>
          <t>Chưa xác minh</t>
        </is>
      </c>
      <c r="V196" s="15" t="inlineStr">
        <is>
          <t>Chưa xác minh</t>
        </is>
      </c>
      <c r="W196" s="15" t="n"/>
      <c r="X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inlineStr">
        <is>
          <t>DRAFT — CHƯA DUYỆT</t>
        </is>
      </c>
      <c r="T197" s="15" t="inlineStr">
        <is>
          <t>Chưa xác minh</t>
        </is>
      </c>
      <c r="U197" s="15" t="inlineStr">
        <is>
          <t>Chưa xác minh</t>
        </is>
      </c>
      <c r="V197" s="15" t="inlineStr">
        <is>
          <t>Chưa xác minh</t>
        </is>
      </c>
      <c r="W197" s="15" t="n"/>
      <c r="X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inlineStr">
        <is>
          <t>DRAFT — CHƯA DUYỆT</t>
        </is>
      </c>
      <c r="T198" s="15" t="inlineStr">
        <is>
          <t>Chưa xác minh</t>
        </is>
      </c>
      <c r="U198" s="15" t="inlineStr">
        <is>
          <t>Chưa xác minh</t>
        </is>
      </c>
      <c r="V198" s="15" t="inlineStr">
        <is>
          <t>Chưa xác minh</t>
        </is>
      </c>
      <c r="W198" s="15" t="n"/>
      <c r="X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inlineStr">
        <is>
          <t>DRAFT — CHƯA DUYỆT</t>
        </is>
      </c>
      <c r="T199" s="15" t="inlineStr">
        <is>
          <t>Chưa xác minh</t>
        </is>
      </c>
      <c r="U199" s="15" t="inlineStr">
        <is>
          <t>Chưa xác minh</t>
        </is>
      </c>
      <c r="V199" s="15" t="inlineStr">
        <is>
          <t>Chưa xác minh</t>
        </is>
      </c>
      <c r="W199" s="15" t="n"/>
      <c r="X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inlineStr">
        <is>
          <t>DRAFT — CHƯA DUYỆT</t>
        </is>
      </c>
      <c r="T200" s="15" t="inlineStr">
        <is>
          <t>Chưa xác minh</t>
        </is>
      </c>
      <c r="U200" s="15" t="inlineStr">
        <is>
          <t>Chưa xác minh</t>
        </is>
      </c>
      <c r="V200" s="15" t="inlineStr">
        <is>
          <t>Chưa xác minh</t>
        </is>
      </c>
      <c r="W200" s="15" t="n"/>
      <c r="X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inlineStr">
        <is>
          <t>DRAFT — CHƯA DUYỆT</t>
        </is>
      </c>
      <c r="T201" s="15" t="inlineStr">
        <is>
          <t>Chưa xác minh</t>
        </is>
      </c>
      <c r="U201" s="15" t="inlineStr">
        <is>
          <t>Chưa xác minh</t>
        </is>
      </c>
      <c r="V201" s="15" t="inlineStr">
        <is>
          <t>Chưa xác minh</t>
        </is>
      </c>
      <c r="W201" s="15" t="n"/>
      <c r="X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inlineStr">
        <is>
          <t>DRAFT — CHƯA DUYỆT</t>
        </is>
      </c>
      <c r="T202" s="15" t="inlineStr">
        <is>
          <t>Chưa xác minh</t>
        </is>
      </c>
      <c r="U202" s="15" t="inlineStr">
        <is>
          <t>Chưa xác minh</t>
        </is>
      </c>
      <c r="V202" s="15" t="inlineStr">
        <is>
          <t>Chưa xác minh</t>
        </is>
      </c>
      <c r="W202" s="15" t="n"/>
      <c r="X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inlineStr">
        <is>
          <t>DRAFT — CHƯA DUYỆT</t>
        </is>
      </c>
      <c r="T203" s="15" t="inlineStr">
        <is>
          <t>Chưa xác minh</t>
        </is>
      </c>
      <c r="U203" s="15" t="inlineStr">
        <is>
          <t>Chưa xác minh</t>
        </is>
      </c>
      <c r="V203" s="15" t="inlineStr">
        <is>
          <t>Chưa xác minh</t>
        </is>
      </c>
      <c r="W203" s="15" t="n"/>
      <c r="X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inlineStr">
        <is>
          <t>DRAFT — CHƯA DUYỆT</t>
        </is>
      </c>
      <c r="T204" s="15" t="inlineStr">
        <is>
          <t>Chưa xác minh</t>
        </is>
      </c>
      <c r="U204" s="15" t="inlineStr">
        <is>
          <t>Chưa xác minh</t>
        </is>
      </c>
      <c r="V204" s="15" t="inlineStr">
        <is>
          <t>Chưa xác minh</t>
        </is>
      </c>
      <c r="W204" s="15" t="n"/>
      <c r="X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inlineStr">
        <is>
          <t>DRAFT — CHƯA DUYỆT</t>
        </is>
      </c>
      <c r="T205" s="15" t="inlineStr">
        <is>
          <t>Chưa xác minh</t>
        </is>
      </c>
      <c r="U205" s="15" t="inlineStr">
        <is>
          <t>Chưa xác minh</t>
        </is>
      </c>
      <c r="V205" s="15" t="inlineStr">
        <is>
          <t>Chưa xác minh</t>
        </is>
      </c>
      <c r="W205" s="15" t="n"/>
      <c r="X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inlineStr">
        <is>
          <t>DRAFT — CHƯA DUYỆT</t>
        </is>
      </c>
      <c r="T206" s="15" t="inlineStr">
        <is>
          <t>Chưa xác minh</t>
        </is>
      </c>
      <c r="U206" s="15" t="inlineStr">
        <is>
          <t>Chưa xác minh</t>
        </is>
      </c>
      <c r="V206" s="15" t="inlineStr">
        <is>
          <t>Chưa xác minh</t>
        </is>
      </c>
      <c r="W206" s="15" t="n"/>
      <c r="X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inlineStr">
        <is>
          <t>DRAFT — CHƯA DUYỆT</t>
        </is>
      </c>
      <c r="T207" s="15" t="inlineStr">
        <is>
          <t>Chưa xác minh</t>
        </is>
      </c>
      <c r="U207" s="15" t="inlineStr">
        <is>
          <t>Chưa xác minh</t>
        </is>
      </c>
      <c r="V207" s="15" t="inlineStr">
        <is>
          <t>Chưa xác minh</t>
        </is>
      </c>
      <c r="W207" s="15" t="n"/>
      <c r="X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inlineStr">
        <is>
          <t>DRAFT — CHƯA DUYỆT</t>
        </is>
      </c>
      <c r="T208" s="15" t="inlineStr">
        <is>
          <t>Chưa xác minh</t>
        </is>
      </c>
      <c r="U208" s="15" t="inlineStr">
        <is>
          <t>Chưa xác minh</t>
        </is>
      </c>
      <c r="V208" s="15" t="inlineStr">
        <is>
          <t>Chưa xác minh</t>
        </is>
      </c>
      <c r="W208" s="15" t="n"/>
      <c r="X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inlineStr">
        <is>
          <t>DRAFT — CHƯA DUYỆT</t>
        </is>
      </c>
      <c r="T209" s="15" t="inlineStr">
        <is>
          <t>Chưa xác minh</t>
        </is>
      </c>
      <c r="U209" s="15" t="inlineStr">
        <is>
          <t>Chưa xác minh</t>
        </is>
      </c>
      <c r="V209" s="15" t="inlineStr">
        <is>
          <t>Chưa xác minh</t>
        </is>
      </c>
      <c r="W209" s="15" t="n"/>
      <c r="X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inlineStr">
        <is>
          <t>DRAFT — CHƯA DUYỆT</t>
        </is>
      </c>
      <c r="T210" s="15" t="inlineStr">
        <is>
          <t>Chưa xác minh</t>
        </is>
      </c>
      <c r="U210" s="15" t="inlineStr">
        <is>
          <t>Chưa xác minh</t>
        </is>
      </c>
      <c r="V210" s="15" t="inlineStr">
        <is>
          <t>Chưa xác minh</t>
        </is>
      </c>
      <c r="W210" s="15" t="n"/>
      <c r="X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inlineStr">
        <is>
          <t>DRAFT — CHƯA DUYỆT</t>
        </is>
      </c>
      <c r="T211" s="15" t="inlineStr">
        <is>
          <t>Chưa xác minh</t>
        </is>
      </c>
      <c r="U211" s="15" t="inlineStr">
        <is>
          <t>Chưa xác minh</t>
        </is>
      </c>
      <c r="V211" s="15" t="inlineStr">
        <is>
          <t>Chưa xác minh</t>
        </is>
      </c>
      <c r="W211" s="15" t="n"/>
      <c r="X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inlineStr">
        <is>
          <t>DRAFT — CHƯA DUYỆT</t>
        </is>
      </c>
      <c r="T212" s="15" t="inlineStr">
        <is>
          <t>Chưa xác minh</t>
        </is>
      </c>
      <c r="U212" s="15" t="inlineStr">
        <is>
          <t>Chưa xác minh</t>
        </is>
      </c>
      <c r="V212" s="15" t="inlineStr">
        <is>
          <t>Chưa xác minh</t>
        </is>
      </c>
      <c r="W212" s="15" t="n"/>
      <c r="X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inlineStr">
        <is>
          <t>DRAFT — CHƯA DUYỆT</t>
        </is>
      </c>
      <c r="T213" s="15" t="inlineStr">
        <is>
          <t>Chưa xác minh</t>
        </is>
      </c>
      <c r="U213" s="15" t="inlineStr">
        <is>
          <t>Chưa xác minh</t>
        </is>
      </c>
      <c r="V213" s="15" t="inlineStr">
        <is>
          <t>Chưa xác minh</t>
        </is>
      </c>
      <c r="W213" s="15" t="n"/>
      <c r="X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inlineStr">
        <is>
          <t>DRAFT — CHƯA DUYỆT</t>
        </is>
      </c>
      <c r="T214" s="15" t="inlineStr">
        <is>
          <t>Chưa xác minh</t>
        </is>
      </c>
      <c r="U214" s="15" t="inlineStr">
        <is>
          <t>Chưa xác minh</t>
        </is>
      </c>
      <c r="V214" s="15" t="inlineStr">
        <is>
          <t>Chưa xác minh</t>
        </is>
      </c>
      <c r="W214" s="15" t="n"/>
      <c r="X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inlineStr">
        <is>
          <t>DRAFT — CHƯA DUYỆT</t>
        </is>
      </c>
      <c r="T215" s="15" t="inlineStr">
        <is>
          <t>Chưa xác minh</t>
        </is>
      </c>
      <c r="U215" s="15" t="inlineStr">
        <is>
          <t>Chưa xác minh</t>
        </is>
      </c>
      <c r="V215" s="15" t="inlineStr">
        <is>
          <t>Chưa xác minh</t>
        </is>
      </c>
      <c r="W215" s="15" t="n"/>
      <c r="X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inlineStr">
        <is>
          <t>DRAFT — CHƯA DUYỆT</t>
        </is>
      </c>
      <c r="T216" s="15" t="inlineStr">
        <is>
          <t>Chưa xác minh</t>
        </is>
      </c>
      <c r="U216" s="15" t="inlineStr">
        <is>
          <t>Chưa xác minh</t>
        </is>
      </c>
      <c r="V216" s="15" t="inlineStr">
        <is>
          <t>Chưa xác minh</t>
        </is>
      </c>
      <c r="W216" s="15" t="n"/>
      <c r="X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inlineStr">
        <is>
          <t>DRAFT — CHƯA DUYỆT</t>
        </is>
      </c>
      <c r="T217" s="15" t="inlineStr">
        <is>
          <t>Chưa xác minh</t>
        </is>
      </c>
      <c r="U217" s="15" t="inlineStr">
        <is>
          <t>Chưa xác minh</t>
        </is>
      </c>
      <c r="V217" s="15" t="inlineStr">
        <is>
          <t>Chưa xác minh</t>
        </is>
      </c>
      <c r="W217" s="15" t="n"/>
      <c r="X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inlineStr">
        <is>
          <t>DRAFT — CHƯA DUYỆT</t>
        </is>
      </c>
      <c r="T218" s="15" t="inlineStr">
        <is>
          <t>Chưa xác minh</t>
        </is>
      </c>
      <c r="U218" s="15" t="inlineStr">
        <is>
          <t>Chưa xác minh</t>
        </is>
      </c>
      <c r="V218" s="15" t="inlineStr">
        <is>
          <t>Chưa xác minh</t>
        </is>
      </c>
      <c r="W218" s="15" t="n"/>
      <c r="X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inlineStr">
        <is>
          <t>DRAFT — CHƯA DUYỆT</t>
        </is>
      </c>
      <c r="T219" s="15" t="inlineStr">
        <is>
          <t>Chưa xác minh</t>
        </is>
      </c>
      <c r="U219" s="15" t="inlineStr">
        <is>
          <t>Chưa xác minh</t>
        </is>
      </c>
      <c r="V219" s="15" t="inlineStr">
        <is>
          <t>Chưa xác minh</t>
        </is>
      </c>
      <c r="W219" s="15" t="n"/>
      <c r="X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inlineStr">
        <is>
          <t>DRAFT — CHƯA DUYỆT</t>
        </is>
      </c>
      <c r="T220" s="15" t="inlineStr">
        <is>
          <t>Chưa xác minh</t>
        </is>
      </c>
      <c r="U220" s="15" t="inlineStr">
        <is>
          <t>Chưa xác minh</t>
        </is>
      </c>
      <c r="V220" s="15" t="inlineStr">
        <is>
          <t>Chưa xác minh</t>
        </is>
      </c>
      <c r="W220" s="15" t="n"/>
      <c r="X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inlineStr">
        <is>
          <t>DRAFT — CHƯA DUYỆT</t>
        </is>
      </c>
      <c r="T221" s="15" t="inlineStr">
        <is>
          <t>Chưa xác minh</t>
        </is>
      </c>
      <c r="U221" s="15" t="inlineStr">
        <is>
          <t>Chưa xác minh</t>
        </is>
      </c>
      <c r="V221" s="15" t="inlineStr">
        <is>
          <t>Chưa xác minh</t>
        </is>
      </c>
      <c r="W221" s="15" t="n"/>
      <c r="X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inlineStr">
        <is>
          <t>DRAFT — CHƯA DUYỆT</t>
        </is>
      </c>
      <c r="T222" s="15" t="inlineStr">
        <is>
          <t>Chưa xác minh</t>
        </is>
      </c>
      <c r="U222" s="15" t="inlineStr">
        <is>
          <t>Chưa xác minh</t>
        </is>
      </c>
      <c r="V222" s="15" t="inlineStr">
        <is>
          <t>Chưa xác minh</t>
        </is>
      </c>
      <c r="W222" s="15" t="n"/>
      <c r="X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inlineStr">
        <is>
          <t>DRAFT — CHƯA DUYỆT</t>
        </is>
      </c>
      <c r="T223" s="15" t="inlineStr">
        <is>
          <t>Chưa xác minh</t>
        </is>
      </c>
      <c r="U223" s="15" t="inlineStr">
        <is>
          <t>Chưa xác minh</t>
        </is>
      </c>
      <c r="V223" s="15" t="inlineStr">
        <is>
          <t>Chưa xác minh</t>
        </is>
      </c>
      <c r="W223" s="15" t="n"/>
      <c r="X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inlineStr">
        <is>
          <t>DRAFT — CHƯA DUYỆT</t>
        </is>
      </c>
      <c r="T224" s="15" t="inlineStr">
        <is>
          <t>Chưa xác minh</t>
        </is>
      </c>
      <c r="U224" s="15" t="inlineStr">
        <is>
          <t>Chưa xác minh</t>
        </is>
      </c>
      <c r="V224" s="15" t="inlineStr">
        <is>
          <t>Chưa xác minh</t>
        </is>
      </c>
      <c r="W224" s="15" t="n"/>
      <c r="X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inlineStr">
        <is>
          <t>DRAFT — CHƯA DUYỆT</t>
        </is>
      </c>
      <c r="T225" s="15" t="inlineStr">
        <is>
          <t>Chưa xác minh</t>
        </is>
      </c>
      <c r="U225" s="15" t="inlineStr">
        <is>
          <t>Chưa xác minh</t>
        </is>
      </c>
      <c r="V225" s="15" t="inlineStr">
        <is>
          <t>Chưa xác minh</t>
        </is>
      </c>
      <c r="W225" s="15" t="n"/>
      <c r="X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inlineStr">
        <is>
          <t>DRAFT — CHƯA DUYỆT</t>
        </is>
      </c>
      <c r="T226" s="15" t="inlineStr">
        <is>
          <t>Chưa xác minh</t>
        </is>
      </c>
      <c r="U226" s="15" t="inlineStr">
        <is>
          <t>Chưa xác minh</t>
        </is>
      </c>
      <c r="V226" s="15" t="inlineStr">
        <is>
          <t>Chưa xác minh</t>
        </is>
      </c>
      <c r="W226" s="15" t="n"/>
      <c r="X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inlineStr">
        <is>
          <t>DRAFT — CHƯA DUYỆT</t>
        </is>
      </c>
      <c r="T227" s="15" t="inlineStr">
        <is>
          <t>Chưa xác minh</t>
        </is>
      </c>
      <c r="U227" s="15" t="inlineStr">
        <is>
          <t>Chưa xác minh</t>
        </is>
      </c>
      <c r="V227" s="15" t="inlineStr">
        <is>
          <t>Chưa xác minh</t>
        </is>
      </c>
      <c r="W227" s="15" t="n"/>
      <c r="X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inlineStr">
        <is>
          <t>DRAFT — CHƯA DUYỆT</t>
        </is>
      </c>
      <c r="T228" s="15" t="inlineStr">
        <is>
          <t>Chưa xác minh</t>
        </is>
      </c>
      <c r="U228" s="15" t="inlineStr">
        <is>
          <t>Chưa xác minh</t>
        </is>
      </c>
      <c r="V228" s="15" t="inlineStr">
        <is>
          <t>Chưa xác minh</t>
        </is>
      </c>
      <c r="W228" s="15" t="n"/>
      <c r="X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inlineStr">
        <is>
          <t>DRAFT — CHƯA DUYỆT</t>
        </is>
      </c>
      <c r="T229" s="15" t="inlineStr">
        <is>
          <t>Chưa xác minh</t>
        </is>
      </c>
      <c r="U229" s="15" t="inlineStr">
        <is>
          <t>Chưa xác minh</t>
        </is>
      </c>
      <c r="V229" s="15" t="inlineStr">
        <is>
          <t>Chưa xác minh</t>
        </is>
      </c>
      <c r="W229" s="15" t="n"/>
      <c r="X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inlineStr">
        <is>
          <t>DRAFT — CHƯA DUYỆT</t>
        </is>
      </c>
      <c r="T230" s="15" t="inlineStr">
        <is>
          <t>Chưa xác minh</t>
        </is>
      </c>
      <c r="U230" s="15" t="inlineStr">
        <is>
          <t>Chưa xác minh</t>
        </is>
      </c>
      <c r="V230" s="15" t="inlineStr">
        <is>
          <t>Chưa xác minh</t>
        </is>
      </c>
      <c r="W230" s="15" t="n"/>
      <c r="X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inlineStr">
        <is>
          <t>DRAFT — CHƯA DUYỆT</t>
        </is>
      </c>
      <c r="T231" s="15" t="inlineStr">
        <is>
          <t>Chưa xác minh</t>
        </is>
      </c>
      <c r="U231" s="15" t="inlineStr">
        <is>
          <t>Chưa xác minh</t>
        </is>
      </c>
      <c r="V231" s="15" t="inlineStr">
        <is>
          <t>Chưa xác minh</t>
        </is>
      </c>
      <c r="W231" s="15" t="n"/>
      <c r="X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inlineStr">
        <is>
          <t>DRAFT — CHƯA DUYỆT</t>
        </is>
      </c>
      <c r="T232" s="15" t="inlineStr">
        <is>
          <t>Chưa xác minh</t>
        </is>
      </c>
      <c r="U232" s="15" t="inlineStr">
        <is>
          <t>Chưa xác minh</t>
        </is>
      </c>
      <c r="V232" s="15" t="inlineStr">
        <is>
          <t>Chưa xác minh</t>
        </is>
      </c>
      <c r="W232" s="15" t="n"/>
      <c r="X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inlineStr">
        <is>
          <t>DRAFT — CHƯA DUYỆT</t>
        </is>
      </c>
      <c r="T233" s="15" t="inlineStr">
        <is>
          <t>Chưa xác minh</t>
        </is>
      </c>
      <c r="U233" s="15" t="inlineStr">
        <is>
          <t>Chưa xác minh</t>
        </is>
      </c>
      <c r="V233" s="15" t="inlineStr">
        <is>
          <t>Chưa xác minh</t>
        </is>
      </c>
      <c r="W233" s="15" t="n"/>
      <c r="X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inlineStr">
        <is>
          <t>DRAFT — CHƯA DUYỆT</t>
        </is>
      </c>
      <c r="T234" s="15" t="inlineStr">
        <is>
          <t>Chưa xác minh</t>
        </is>
      </c>
      <c r="U234" s="15" t="inlineStr">
        <is>
          <t>Chưa xác minh</t>
        </is>
      </c>
      <c r="V234" s="15" t="inlineStr">
        <is>
          <t>Chưa xác minh</t>
        </is>
      </c>
      <c r="W234" s="15" t="n"/>
      <c r="X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inlineStr">
        <is>
          <t>DRAFT — CHƯA DUYỆT</t>
        </is>
      </c>
      <c r="T235" s="15" t="inlineStr">
        <is>
          <t>Chưa xác minh</t>
        </is>
      </c>
      <c r="U235" s="15" t="inlineStr">
        <is>
          <t>Chưa xác minh</t>
        </is>
      </c>
      <c r="V235" s="15" t="inlineStr">
        <is>
          <t>Chưa xác minh</t>
        </is>
      </c>
      <c r="W235" s="15" t="n"/>
      <c r="X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inlineStr">
        <is>
          <t>DRAFT — CHƯA DUYỆT</t>
        </is>
      </c>
      <c r="T236" s="15" t="inlineStr">
        <is>
          <t>Chưa xác minh</t>
        </is>
      </c>
      <c r="U236" s="15" t="inlineStr">
        <is>
          <t>Chưa xác minh</t>
        </is>
      </c>
      <c r="V236" s="15" t="inlineStr">
        <is>
          <t>Chưa xác minh</t>
        </is>
      </c>
      <c r="W236" s="15" t="n"/>
      <c r="X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inlineStr">
        <is>
          <t>DRAFT — CHƯA DUYỆT</t>
        </is>
      </c>
      <c r="T237" s="15" t="inlineStr">
        <is>
          <t>Chưa xác minh</t>
        </is>
      </c>
      <c r="U237" s="15" t="inlineStr">
        <is>
          <t>Chưa xác minh</t>
        </is>
      </c>
      <c r="V237" s="15" t="inlineStr">
        <is>
          <t>Chưa xác minh</t>
        </is>
      </c>
      <c r="W237" s="15" t="n"/>
      <c r="X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inlineStr">
        <is>
          <t>DRAFT — CHƯA DUYỆT</t>
        </is>
      </c>
      <c r="T238" s="15" t="inlineStr">
        <is>
          <t>Chưa xác minh</t>
        </is>
      </c>
      <c r="U238" s="15" t="inlineStr">
        <is>
          <t>Chưa xác minh</t>
        </is>
      </c>
      <c r="V238" s="15" t="inlineStr">
        <is>
          <t>Chưa xác minh</t>
        </is>
      </c>
      <c r="W238" s="15" t="n"/>
      <c r="X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inlineStr">
        <is>
          <t>DRAFT — CHƯA DUYỆT</t>
        </is>
      </c>
      <c r="T239" s="15" t="inlineStr">
        <is>
          <t>Chưa xác minh</t>
        </is>
      </c>
      <c r="U239" s="15" t="inlineStr">
        <is>
          <t>Chưa xác minh</t>
        </is>
      </c>
      <c r="V239" s="15" t="inlineStr">
        <is>
          <t>Chưa xác minh</t>
        </is>
      </c>
      <c r="W239" s="15" t="n"/>
      <c r="X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inlineStr">
        <is>
          <t>DRAFT — CHƯA DUYỆT</t>
        </is>
      </c>
      <c r="T240" s="15" t="inlineStr">
        <is>
          <t>Chưa xác minh</t>
        </is>
      </c>
      <c r="U240" s="15" t="inlineStr">
        <is>
          <t>Chưa xác minh</t>
        </is>
      </c>
      <c r="V240" s="15" t="inlineStr">
        <is>
          <t>Chưa xác minh</t>
        </is>
      </c>
      <c r="W240" s="15" t="n"/>
      <c r="X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inlineStr">
        <is>
          <t>DRAFT — CHƯA DUYỆT</t>
        </is>
      </c>
      <c r="T241" s="15" t="inlineStr">
        <is>
          <t>Chưa xác minh</t>
        </is>
      </c>
      <c r="U241" s="15" t="inlineStr">
        <is>
          <t>Chưa xác minh</t>
        </is>
      </c>
      <c r="V241" s="15" t="inlineStr">
        <is>
          <t>Chưa xác minh</t>
        </is>
      </c>
      <c r="W241" s="15" t="n"/>
      <c r="X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inlineStr">
        <is>
          <t>DRAFT — CHƯA DUYỆT</t>
        </is>
      </c>
      <c r="T242" s="15" t="inlineStr">
        <is>
          <t>Chưa xác minh</t>
        </is>
      </c>
      <c r="U242" s="15" t="inlineStr">
        <is>
          <t>Chưa xác minh</t>
        </is>
      </c>
      <c r="V242" s="15" t="inlineStr">
        <is>
          <t>Chưa xác minh</t>
        </is>
      </c>
      <c r="W242" s="15" t="n"/>
      <c r="X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inlineStr">
        <is>
          <t>DRAFT — CHƯA DUYỆT</t>
        </is>
      </c>
      <c r="T243" s="15" t="inlineStr">
        <is>
          <t>Chưa xác minh</t>
        </is>
      </c>
      <c r="U243" s="15" t="inlineStr">
        <is>
          <t>Chưa xác minh</t>
        </is>
      </c>
      <c r="V243" s="15" t="inlineStr">
        <is>
          <t>Chưa xác minh</t>
        </is>
      </c>
      <c r="W243" s="15" t="n"/>
      <c r="X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inlineStr">
        <is>
          <t>DRAFT — CHƯA DUYỆT</t>
        </is>
      </c>
      <c r="T244" s="15" t="inlineStr">
        <is>
          <t>Chưa xác minh</t>
        </is>
      </c>
      <c r="U244" s="15" t="inlineStr">
        <is>
          <t>Chưa xác minh</t>
        </is>
      </c>
      <c r="V244" s="15" t="inlineStr">
        <is>
          <t>Chưa xác minh</t>
        </is>
      </c>
      <c r="W244" s="15" t="n"/>
      <c r="X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inlineStr">
        <is>
          <t>DRAFT — CHƯA DUYỆT</t>
        </is>
      </c>
      <c r="T245" s="15" t="inlineStr">
        <is>
          <t>Chưa xác minh</t>
        </is>
      </c>
      <c r="U245" s="15" t="inlineStr">
        <is>
          <t>Chưa xác minh</t>
        </is>
      </c>
      <c r="V245" s="15" t="inlineStr">
        <is>
          <t>Chưa xác minh</t>
        </is>
      </c>
      <c r="W245" s="15" t="n"/>
      <c r="X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inlineStr">
        <is>
          <t>DRAFT — CHƯA DUYỆT</t>
        </is>
      </c>
      <c r="T246" s="15" t="inlineStr">
        <is>
          <t>Chưa xác minh</t>
        </is>
      </c>
      <c r="U246" s="15" t="inlineStr">
        <is>
          <t>Chưa xác minh</t>
        </is>
      </c>
      <c r="V246" s="15" t="inlineStr">
        <is>
          <t>Chưa xác minh</t>
        </is>
      </c>
      <c r="W246" s="15" t="n"/>
      <c r="X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inlineStr">
        <is>
          <t>DRAFT — CHƯA DUYỆT</t>
        </is>
      </c>
      <c r="T247" s="15" t="inlineStr">
        <is>
          <t>Chưa xác minh</t>
        </is>
      </c>
      <c r="U247" s="15" t="inlineStr">
        <is>
          <t>Chưa xác minh</t>
        </is>
      </c>
      <c r="V247" s="15" t="inlineStr">
        <is>
          <t>Chưa xác minh</t>
        </is>
      </c>
      <c r="W247" s="15" t="n"/>
      <c r="X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inlineStr">
        <is>
          <t>DRAFT — CHƯA DUYỆT</t>
        </is>
      </c>
      <c r="T248" s="15" t="inlineStr">
        <is>
          <t>Chưa xác minh</t>
        </is>
      </c>
      <c r="U248" s="15" t="inlineStr">
        <is>
          <t>Chưa xác minh</t>
        </is>
      </c>
      <c r="V248" s="15" t="inlineStr">
        <is>
          <t>Chưa xác minh</t>
        </is>
      </c>
      <c r="W248" s="15" t="n"/>
      <c r="X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inlineStr">
        <is>
          <t>DRAFT — CHƯA DUYỆT</t>
        </is>
      </c>
      <c r="T249" s="15" t="inlineStr">
        <is>
          <t>Chưa xác minh</t>
        </is>
      </c>
      <c r="U249" s="15" t="inlineStr">
        <is>
          <t>Chưa xác minh</t>
        </is>
      </c>
      <c r="V249" s="15" t="inlineStr">
        <is>
          <t>Chưa xác minh</t>
        </is>
      </c>
      <c r="W249" s="15" t="n"/>
      <c r="X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inlineStr">
        <is>
          <t>DRAFT — CHƯA DUYỆT</t>
        </is>
      </c>
      <c r="T250" s="15" t="inlineStr">
        <is>
          <t>Chưa xác minh</t>
        </is>
      </c>
      <c r="U250" s="15" t="inlineStr">
        <is>
          <t>Chưa xác minh</t>
        </is>
      </c>
      <c r="V250" s="15" t="inlineStr">
        <is>
          <t>Chưa xác minh</t>
        </is>
      </c>
      <c r="W250" s="15" t="n"/>
      <c r="X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inlineStr">
        <is>
          <t>DRAFT — CHƯA DUYỆT</t>
        </is>
      </c>
      <c r="T251" s="15" t="inlineStr">
        <is>
          <t>Chưa xác minh</t>
        </is>
      </c>
      <c r="U251" s="15" t="inlineStr">
        <is>
          <t>Chưa xác minh</t>
        </is>
      </c>
      <c r="V251" s="15" t="inlineStr">
        <is>
          <t>Chưa xác minh</t>
        </is>
      </c>
      <c r="W251" s="15" t="n"/>
      <c r="X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inlineStr">
        <is>
          <t>DRAFT — CHƯA DUYỆT</t>
        </is>
      </c>
      <c r="T252" s="15" t="inlineStr">
        <is>
          <t>Chưa xác minh</t>
        </is>
      </c>
      <c r="U252" s="15" t="inlineStr">
        <is>
          <t>Chưa xác minh</t>
        </is>
      </c>
      <c r="V252" s="15" t="inlineStr">
        <is>
          <t>Chưa xác minh</t>
        </is>
      </c>
      <c r="W252" s="15" t="n"/>
      <c r="X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inlineStr">
        <is>
          <t>DRAFT — CHƯA DUYỆT</t>
        </is>
      </c>
      <c r="T253" s="15" t="inlineStr">
        <is>
          <t>Chưa xác minh</t>
        </is>
      </c>
      <c r="U253" s="15" t="inlineStr">
        <is>
          <t>Chưa xác minh</t>
        </is>
      </c>
      <c r="V253" s="15" t="inlineStr">
        <is>
          <t>Chưa xác minh</t>
        </is>
      </c>
      <c r="W253" s="15" t="n"/>
      <c r="X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inlineStr">
        <is>
          <t>DRAFT — CHƯA DUYỆT</t>
        </is>
      </c>
      <c r="T254" s="15" t="inlineStr">
        <is>
          <t>Chưa xác minh</t>
        </is>
      </c>
      <c r="U254" s="15" t="inlineStr">
        <is>
          <t>Chưa xác minh</t>
        </is>
      </c>
      <c r="V254" s="15" t="inlineStr">
        <is>
          <t>Chưa xác minh</t>
        </is>
      </c>
      <c r="W254" s="15" t="n"/>
      <c r="X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inlineStr">
        <is>
          <t>DRAFT — CHƯA DUYỆT</t>
        </is>
      </c>
      <c r="T255" s="15" t="inlineStr">
        <is>
          <t>Chưa xác minh</t>
        </is>
      </c>
      <c r="U255" s="15" t="inlineStr">
        <is>
          <t>Chưa xác minh</t>
        </is>
      </c>
      <c r="V255" s="15" t="inlineStr">
        <is>
          <t>Chưa xác minh</t>
        </is>
      </c>
      <c r="W255" s="15" t="n"/>
      <c r="X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inlineStr">
        <is>
          <t>DRAFT — CHƯA DUYỆT</t>
        </is>
      </c>
      <c r="T256" s="15" t="inlineStr">
        <is>
          <t>Chưa xác minh</t>
        </is>
      </c>
      <c r="U256" s="15" t="inlineStr">
        <is>
          <t>Chưa xác minh</t>
        </is>
      </c>
      <c r="V256" s="15" t="inlineStr">
        <is>
          <t>Chưa xác minh</t>
        </is>
      </c>
      <c r="W256" s="15" t="n"/>
      <c r="X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inlineStr">
        <is>
          <t>DRAFT — CHƯA DUYỆT</t>
        </is>
      </c>
      <c r="T257" s="15" t="inlineStr">
        <is>
          <t>Chưa xác minh</t>
        </is>
      </c>
      <c r="U257" s="15" t="inlineStr">
        <is>
          <t>Chưa xác minh</t>
        </is>
      </c>
      <c r="V257" s="15" t="inlineStr">
        <is>
          <t>Chưa xác minh</t>
        </is>
      </c>
      <c r="W257" s="15" t="n"/>
      <c r="X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inlineStr">
        <is>
          <t>DRAFT — CHƯA DUYỆT</t>
        </is>
      </c>
      <c r="T258" s="15" t="inlineStr">
        <is>
          <t>Chưa xác minh</t>
        </is>
      </c>
      <c r="U258" s="15" t="inlineStr">
        <is>
          <t>Chưa xác minh</t>
        </is>
      </c>
      <c r="V258" s="15" t="inlineStr">
        <is>
          <t>Chưa xác minh</t>
        </is>
      </c>
      <c r="W258" s="15" t="n"/>
      <c r="X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inlineStr">
        <is>
          <t>DRAFT — CHƯA DUYỆT</t>
        </is>
      </c>
      <c r="T259" s="15" t="inlineStr">
        <is>
          <t>Chưa xác minh</t>
        </is>
      </c>
      <c r="U259" s="15" t="inlineStr">
        <is>
          <t>Chưa xác minh</t>
        </is>
      </c>
      <c r="V259" s="15" t="inlineStr">
        <is>
          <t>Chưa xác minh</t>
        </is>
      </c>
      <c r="W259" s="15" t="n"/>
      <c r="X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inlineStr">
        <is>
          <t>DRAFT — CHƯA DUYỆT</t>
        </is>
      </c>
      <c r="T260" s="15" t="inlineStr">
        <is>
          <t>Chưa xác minh</t>
        </is>
      </c>
      <c r="U260" s="15" t="inlineStr">
        <is>
          <t>Chưa xác minh</t>
        </is>
      </c>
      <c r="V260" s="15" t="inlineStr">
        <is>
          <t>Chưa xác minh</t>
        </is>
      </c>
      <c r="W260" s="15" t="n"/>
      <c r="X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inlineStr">
        <is>
          <t>DRAFT — CHƯA DUYỆT</t>
        </is>
      </c>
      <c r="T261" s="15" t="inlineStr">
        <is>
          <t>Chưa xác minh</t>
        </is>
      </c>
      <c r="U261" s="15" t="inlineStr">
        <is>
          <t>Chưa xác minh</t>
        </is>
      </c>
      <c r="V261" s="15" t="inlineStr">
        <is>
          <t>Chưa xác minh</t>
        </is>
      </c>
      <c r="W261" s="15" t="n"/>
      <c r="X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inlineStr">
        <is>
          <t>DRAFT — CHƯA DUYỆT</t>
        </is>
      </c>
      <c r="T262" s="15" t="inlineStr">
        <is>
          <t>Chưa xác minh</t>
        </is>
      </c>
      <c r="U262" s="15" t="inlineStr">
        <is>
          <t>Chưa xác minh</t>
        </is>
      </c>
      <c r="V262" s="15" t="inlineStr">
        <is>
          <t>Chưa xác minh</t>
        </is>
      </c>
      <c r="W262" s="15" t="n"/>
      <c r="X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inlineStr">
        <is>
          <t>DRAFT — CHƯA DUYỆT</t>
        </is>
      </c>
      <c r="T263" s="15" t="inlineStr">
        <is>
          <t>Chưa xác minh</t>
        </is>
      </c>
      <c r="U263" s="15" t="inlineStr">
        <is>
          <t>Chưa xác minh</t>
        </is>
      </c>
      <c r="V263" s="15" t="inlineStr">
        <is>
          <t>Chưa xác minh</t>
        </is>
      </c>
      <c r="W263" s="15" t="n"/>
      <c r="X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inlineStr">
        <is>
          <t>DRAFT — CHƯA DUYỆT</t>
        </is>
      </c>
      <c r="T264" s="15" t="inlineStr">
        <is>
          <t>Chưa xác minh</t>
        </is>
      </c>
      <c r="U264" s="15" t="inlineStr">
        <is>
          <t>Chưa xác minh</t>
        </is>
      </c>
      <c r="V264" s="15" t="inlineStr">
        <is>
          <t>Chưa xác minh</t>
        </is>
      </c>
      <c r="W264" s="15" t="n"/>
      <c r="X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inlineStr">
        <is>
          <t>DRAFT — CHƯA DUYỆT</t>
        </is>
      </c>
      <c r="T265" s="15" t="inlineStr">
        <is>
          <t>Chưa xác minh</t>
        </is>
      </c>
      <c r="U265" s="15" t="inlineStr">
        <is>
          <t>Chưa xác minh</t>
        </is>
      </c>
      <c r="V265" s="15" t="inlineStr">
        <is>
          <t>Chưa xác minh</t>
        </is>
      </c>
      <c r="W265" s="15" t="n"/>
      <c r="X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inlineStr">
        <is>
          <t>DRAFT — CHƯA DUYỆT</t>
        </is>
      </c>
      <c r="T266" s="15" t="inlineStr">
        <is>
          <t>Chưa xác minh</t>
        </is>
      </c>
      <c r="U266" s="15" t="inlineStr">
        <is>
          <t>Chưa xác minh</t>
        </is>
      </c>
      <c r="V266" s="15" t="inlineStr">
        <is>
          <t>Chưa xác minh</t>
        </is>
      </c>
      <c r="W266" s="15" t="n"/>
      <c r="X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inlineStr">
        <is>
          <t>DRAFT — CHƯA DUYỆT</t>
        </is>
      </c>
      <c r="T267" s="15" t="inlineStr">
        <is>
          <t>Chưa xác minh</t>
        </is>
      </c>
      <c r="U267" s="15" t="inlineStr">
        <is>
          <t>Chưa xác minh</t>
        </is>
      </c>
      <c r="V267" s="15" t="inlineStr">
        <is>
          <t>Chưa xác minh</t>
        </is>
      </c>
      <c r="W267" s="15" t="n"/>
      <c r="X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inlineStr">
        <is>
          <t>DRAFT — CHƯA DUYỆT</t>
        </is>
      </c>
      <c r="T268" s="15" t="inlineStr">
        <is>
          <t>Chưa xác minh</t>
        </is>
      </c>
      <c r="U268" s="15" t="inlineStr">
        <is>
          <t>Chưa xác minh</t>
        </is>
      </c>
      <c r="V268" s="15" t="inlineStr">
        <is>
          <t>Chưa xác minh</t>
        </is>
      </c>
      <c r="W268" s="15" t="n"/>
      <c r="X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inlineStr">
        <is>
          <t>DRAFT — CHƯA DUYỆT</t>
        </is>
      </c>
      <c r="T269" s="15" t="inlineStr">
        <is>
          <t>Chưa xác minh</t>
        </is>
      </c>
      <c r="U269" s="15" t="inlineStr">
        <is>
          <t>Chưa xác minh</t>
        </is>
      </c>
      <c r="V269" s="15" t="inlineStr">
        <is>
          <t>Chưa xác minh</t>
        </is>
      </c>
      <c r="W269" s="15" t="n"/>
      <c r="X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inlineStr">
        <is>
          <t>DRAFT — CHƯA DUYỆT</t>
        </is>
      </c>
      <c r="T270" s="15" t="inlineStr">
        <is>
          <t>Chưa xác minh</t>
        </is>
      </c>
      <c r="U270" s="15" t="inlineStr">
        <is>
          <t>Chưa xác minh</t>
        </is>
      </c>
      <c r="V270" s="15" t="inlineStr">
        <is>
          <t>Chưa xác minh</t>
        </is>
      </c>
      <c r="W270" s="15" t="n"/>
      <c r="X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inlineStr">
        <is>
          <t>DRAFT — CHƯA DUYỆT</t>
        </is>
      </c>
      <c r="T271" s="15" t="inlineStr">
        <is>
          <t>Chưa xác minh</t>
        </is>
      </c>
      <c r="U271" s="15" t="inlineStr">
        <is>
          <t>Chưa xác minh</t>
        </is>
      </c>
      <c r="V271" s="15" t="inlineStr">
        <is>
          <t>Chưa xác minh</t>
        </is>
      </c>
      <c r="W271" s="15" t="n"/>
      <c r="X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inlineStr">
        <is>
          <t>DRAFT — CHƯA DUYỆT</t>
        </is>
      </c>
      <c r="T272" s="15" t="inlineStr">
        <is>
          <t>Chưa xác minh</t>
        </is>
      </c>
      <c r="U272" s="15" t="inlineStr">
        <is>
          <t>Chưa xác minh</t>
        </is>
      </c>
      <c r="V272" s="15" t="inlineStr">
        <is>
          <t>Chưa xác minh</t>
        </is>
      </c>
      <c r="W272" s="15" t="n"/>
      <c r="X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inlineStr">
        <is>
          <t>DRAFT — CHƯA DUYỆT</t>
        </is>
      </c>
      <c r="T273" s="15" t="inlineStr">
        <is>
          <t>Chưa xác minh</t>
        </is>
      </c>
      <c r="U273" s="15" t="inlineStr">
        <is>
          <t>Chưa xác minh</t>
        </is>
      </c>
      <c r="V273" s="15" t="inlineStr">
        <is>
          <t>Chưa xác minh</t>
        </is>
      </c>
      <c r="W273" s="15" t="n"/>
      <c r="X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inlineStr">
        <is>
          <t>DRAFT — CHƯA DUYỆT</t>
        </is>
      </c>
      <c r="T274" s="15" t="inlineStr">
        <is>
          <t>Chưa xác minh</t>
        </is>
      </c>
      <c r="U274" s="15" t="inlineStr">
        <is>
          <t>Chưa xác minh</t>
        </is>
      </c>
      <c r="V274" s="15" t="inlineStr">
        <is>
          <t>Chưa xác minh</t>
        </is>
      </c>
      <c r="W274" s="15" t="n"/>
      <c r="X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inlineStr">
        <is>
          <t>DRAFT — CHƯA DUYỆT</t>
        </is>
      </c>
      <c r="T275" s="15" t="inlineStr">
        <is>
          <t>Chưa xác minh</t>
        </is>
      </c>
      <c r="U275" s="15" t="inlineStr">
        <is>
          <t>Chưa xác minh</t>
        </is>
      </c>
      <c r="V275" s="15" t="inlineStr">
        <is>
          <t>Chưa xác minh</t>
        </is>
      </c>
      <c r="W275" s="15" t="n"/>
      <c r="X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inlineStr">
        <is>
          <t>DRAFT — CHƯA DUYỆT</t>
        </is>
      </c>
      <c r="T276" s="15" t="inlineStr">
        <is>
          <t>Chưa xác minh</t>
        </is>
      </c>
      <c r="U276" s="15" t="inlineStr">
        <is>
          <t>Chưa xác minh</t>
        </is>
      </c>
      <c r="V276" s="15" t="inlineStr">
        <is>
          <t>Chưa xác minh</t>
        </is>
      </c>
      <c r="W276" s="15" t="n"/>
      <c r="X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inlineStr">
        <is>
          <t>DRAFT — CHƯA DUYỆT</t>
        </is>
      </c>
      <c r="T277" s="15" t="inlineStr">
        <is>
          <t>Chưa xác minh</t>
        </is>
      </c>
      <c r="U277" s="15" t="inlineStr">
        <is>
          <t>Chưa xác minh</t>
        </is>
      </c>
      <c r="V277" s="15" t="inlineStr">
        <is>
          <t>Chưa xác minh</t>
        </is>
      </c>
      <c r="W277" s="15" t="n"/>
      <c r="X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inlineStr">
        <is>
          <t>DRAFT — CHƯA DUYỆT</t>
        </is>
      </c>
      <c r="T278" s="15" t="inlineStr">
        <is>
          <t>Chưa xác minh</t>
        </is>
      </c>
      <c r="U278" s="15" t="inlineStr">
        <is>
          <t>Chưa xác minh</t>
        </is>
      </c>
      <c r="V278" s="15" t="inlineStr">
        <is>
          <t>Chưa xác minh</t>
        </is>
      </c>
      <c r="W278" s="15" t="n"/>
      <c r="X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inlineStr">
        <is>
          <t>DRAFT — CHƯA DUYỆT</t>
        </is>
      </c>
      <c r="T279" s="15" t="inlineStr">
        <is>
          <t>Chưa xác minh</t>
        </is>
      </c>
      <c r="U279" s="15" t="inlineStr">
        <is>
          <t>Chưa xác minh</t>
        </is>
      </c>
      <c r="V279" s="15" t="inlineStr">
        <is>
          <t>Chưa xác minh</t>
        </is>
      </c>
      <c r="W279" s="15" t="n"/>
      <c r="X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inlineStr">
        <is>
          <t>DRAFT — CHƯA DUYỆT</t>
        </is>
      </c>
      <c r="T280" s="15" t="inlineStr">
        <is>
          <t>Chưa xác minh</t>
        </is>
      </c>
      <c r="U280" s="15" t="inlineStr">
        <is>
          <t>Chưa xác minh</t>
        </is>
      </c>
      <c r="V280" s="15" t="inlineStr">
        <is>
          <t>Chưa xác minh</t>
        </is>
      </c>
      <c r="W280" s="15" t="n"/>
      <c r="X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inlineStr">
        <is>
          <t>DRAFT — CHƯA DUYỆT</t>
        </is>
      </c>
      <c r="T281" s="15" t="inlineStr">
        <is>
          <t>Chưa xác minh</t>
        </is>
      </c>
      <c r="U281" s="15" t="inlineStr">
        <is>
          <t>Chưa xác minh</t>
        </is>
      </c>
      <c r="V281" s="15" t="inlineStr">
        <is>
          <t>Chưa xác minh</t>
        </is>
      </c>
      <c r="W281" s="15" t="n"/>
      <c r="X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inlineStr">
        <is>
          <t>DRAFT — CHƯA DUYỆT</t>
        </is>
      </c>
      <c r="T282" s="15" t="inlineStr">
        <is>
          <t>Chưa xác minh</t>
        </is>
      </c>
      <c r="U282" s="15" t="inlineStr">
        <is>
          <t>Chưa xác minh</t>
        </is>
      </c>
      <c r="V282" s="15" t="inlineStr">
        <is>
          <t>Chưa xác minh</t>
        </is>
      </c>
      <c r="W282" s="15" t="n"/>
      <c r="X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inlineStr">
        <is>
          <t>DRAFT — CHƯA DUYỆT</t>
        </is>
      </c>
      <c r="T283" s="15" t="inlineStr">
        <is>
          <t>Chưa xác minh</t>
        </is>
      </c>
      <c r="U283" s="15" t="inlineStr">
        <is>
          <t>Chưa xác minh</t>
        </is>
      </c>
      <c r="V283" s="15" t="inlineStr">
        <is>
          <t>Chưa xác minh</t>
        </is>
      </c>
      <c r="W283" s="15" t="n"/>
      <c r="X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inlineStr">
        <is>
          <t>DRAFT — CHƯA DUYỆT</t>
        </is>
      </c>
      <c r="T284" s="15" t="inlineStr">
        <is>
          <t>Chưa xác minh</t>
        </is>
      </c>
      <c r="U284" s="15" t="inlineStr">
        <is>
          <t>Chưa xác minh</t>
        </is>
      </c>
      <c r="V284" s="15" t="inlineStr">
        <is>
          <t>Chưa xác minh</t>
        </is>
      </c>
      <c r="W284" s="15" t="n"/>
      <c r="X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inlineStr">
        <is>
          <t>DRAFT — CHƯA DUYỆT</t>
        </is>
      </c>
      <c r="T285" s="15" t="inlineStr">
        <is>
          <t>Chưa xác minh</t>
        </is>
      </c>
      <c r="U285" s="15" t="inlineStr">
        <is>
          <t>Chưa xác minh</t>
        </is>
      </c>
      <c r="V285" s="15" t="inlineStr">
        <is>
          <t>Chưa xác minh</t>
        </is>
      </c>
      <c r="W285" s="15" t="n"/>
      <c r="X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inlineStr">
        <is>
          <t>DRAFT — CHƯA DUYỆT</t>
        </is>
      </c>
      <c r="T286" s="15" t="inlineStr">
        <is>
          <t>Chưa xác minh</t>
        </is>
      </c>
      <c r="U286" s="15" t="inlineStr">
        <is>
          <t>Chưa xác minh</t>
        </is>
      </c>
      <c r="V286" s="15" t="inlineStr">
        <is>
          <t>Chưa xác minh</t>
        </is>
      </c>
      <c r="W286" s="15" t="n"/>
      <c r="X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inlineStr">
        <is>
          <t>DRAFT — CHƯA DUYỆT</t>
        </is>
      </c>
      <c r="T287" s="15" t="inlineStr">
        <is>
          <t>Chưa xác minh</t>
        </is>
      </c>
      <c r="U287" s="15" t="inlineStr">
        <is>
          <t>Chưa xác minh</t>
        </is>
      </c>
      <c r="V287" s="15" t="inlineStr">
        <is>
          <t>Chưa xác minh</t>
        </is>
      </c>
      <c r="W287" s="15" t="n"/>
      <c r="X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inlineStr">
        <is>
          <t>DRAFT — CHƯA DUYỆT</t>
        </is>
      </c>
      <c r="T288" s="15" t="inlineStr">
        <is>
          <t>Chưa xác minh</t>
        </is>
      </c>
      <c r="U288" s="15" t="inlineStr">
        <is>
          <t>Chưa xác minh</t>
        </is>
      </c>
      <c r="V288" s="15" t="inlineStr">
        <is>
          <t>Chưa xác minh</t>
        </is>
      </c>
      <c r="W288" s="15" t="n"/>
      <c r="X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inlineStr">
        <is>
          <t>DRAFT — CHƯA DUYỆT</t>
        </is>
      </c>
      <c r="T289" s="15" t="inlineStr">
        <is>
          <t>Chưa xác minh</t>
        </is>
      </c>
      <c r="U289" s="15" t="inlineStr">
        <is>
          <t>Chưa xác minh</t>
        </is>
      </c>
      <c r="V289" s="15" t="inlineStr">
        <is>
          <t>Chưa xác minh</t>
        </is>
      </c>
      <c r="W289" s="15" t="n"/>
      <c r="X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inlineStr">
        <is>
          <t>DRAFT — CHƯA DUYỆT</t>
        </is>
      </c>
      <c r="T290" s="15" t="inlineStr">
        <is>
          <t>Chưa xác minh</t>
        </is>
      </c>
      <c r="U290" s="15" t="inlineStr">
        <is>
          <t>Chưa xác minh</t>
        </is>
      </c>
      <c r="V290" s="15" t="inlineStr">
        <is>
          <t>Chưa xác minh</t>
        </is>
      </c>
      <c r="W290" s="15" t="n"/>
      <c r="X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inlineStr">
        <is>
          <t>DRAFT — CHƯA DUYỆT</t>
        </is>
      </c>
      <c r="T291" s="15" t="inlineStr">
        <is>
          <t>Chưa xác minh</t>
        </is>
      </c>
      <c r="U291" s="15" t="inlineStr">
        <is>
          <t>Chưa xác minh</t>
        </is>
      </c>
      <c r="V291" s="15" t="inlineStr">
        <is>
          <t>Chưa xác minh</t>
        </is>
      </c>
      <c r="W291" s="15" t="n"/>
      <c r="X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inlineStr">
        <is>
          <t>DRAFT — CHƯA DUYỆT</t>
        </is>
      </c>
      <c r="T292" s="15" t="inlineStr">
        <is>
          <t>Chưa xác minh</t>
        </is>
      </c>
      <c r="U292" s="15" t="inlineStr">
        <is>
          <t>Chưa xác minh</t>
        </is>
      </c>
      <c r="V292" s="15" t="inlineStr">
        <is>
          <t>Chưa xác minh</t>
        </is>
      </c>
      <c r="W292" s="15" t="n"/>
      <c r="X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inlineStr">
        <is>
          <t>DRAFT — CHƯA DUYỆT</t>
        </is>
      </c>
      <c r="T293" s="15" t="inlineStr">
        <is>
          <t>Chưa xác minh</t>
        </is>
      </c>
      <c r="U293" s="15" t="inlineStr">
        <is>
          <t>Chưa xác minh</t>
        </is>
      </c>
      <c r="V293" s="15" t="inlineStr">
        <is>
          <t>Chưa xác minh</t>
        </is>
      </c>
      <c r="W293" s="15" t="n"/>
      <c r="X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inlineStr">
        <is>
          <t>DRAFT — CHƯA DUYỆT</t>
        </is>
      </c>
      <c r="T294" s="15" t="inlineStr">
        <is>
          <t>Chưa xác minh</t>
        </is>
      </c>
      <c r="U294" s="15" t="inlineStr">
        <is>
          <t>Chưa xác minh</t>
        </is>
      </c>
      <c r="V294" s="15" t="inlineStr">
        <is>
          <t>Chưa xác minh</t>
        </is>
      </c>
      <c r="W294" s="15" t="n"/>
      <c r="X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inlineStr">
        <is>
          <t>DRAFT — CHƯA DUYỆT</t>
        </is>
      </c>
      <c r="T295" s="15" t="inlineStr">
        <is>
          <t>Chưa xác minh</t>
        </is>
      </c>
      <c r="U295" s="15" t="inlineStr">
        <is>
          <t>Chưa xác minh</t>
        </is>
      </c>
      <c r="V295" s="15" t="inlineStr">
        <is>
          <t>Chưa xác minh</t>
        </is>
      </c>
      <c r="W295" s="15" t="n"/>
      <c r="X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inlineStr">
        <is>
          <t>DRAFT — CHƯA DUYỆT</t>
        </is>
      </c>
      <c r="T296" s="15" t="inlineStr">
        <is>
          <t>Chưa xác minh</t>
        </is>
      </c>
      <c r="U296" s="15" t="inlineStr">
        <is>
          <t>Chưa xác minh</t>
        </is>
      </c>
      <c r="V296" s="15" t="inlineStr">
        <is>
          <t>Chưa xác minh</t>
        </is>
      </c>
      <c r="W296" s="15" t="n"/>
      <c r="X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inlineStr">
        <is>
          <t>DRAFT — CHƯA DUYỆT</t>
        </is>
      </c>
      <c r="T297" s="15" t="inlineStr">
        <is>
          <t>Chưa xác minh</t>
        </is>
      </c>
      <c r="U297" s="15" t="inlineStr">
        <is>
          <t>Chưa xác minh</t>
        </is>
      </c>
      <c r="V297" s="15" t="inlineStr">
        <is>
          <t>Chưa xác minh</t>
        </is>
      </c>
      <c r="W297" s="15" t="n"/>
      <c r="X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inlineStr">
        <is>
          <t>DRAFT — CHƯA DUYỆT</t>
        </is>
      </c>
      <c r="T298" s="15" t="inlineStr">
        <is>
          <t>Chưa xác minh</t>
        </is>
      </c>
      <c r="U298" s="15" t="inlineStr">
        <is>
          <t>Chưa xác minh</t>
        </is>
      </c>
      <c r="V298" s="15" t="inlineStr">
        <is>
          <t>Chưa xác minh</t>
        </is>
      </c>
      <c r="W298" s="15" t="n"/>
      <c r="X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inlineStr">
        <is>
          <t>DRAFT — CHƯA DUYỆT</t>
        </is>
      </c>
      <c r="T299" s="15" t="inlineStr">
        <is>
          <t>Chưa xác minh</t>
        </is>
      </c>
      <c r="U299" s="15" t="inlineStr">
        <is>
          <t>Chưa xác minh</t>
        </is>
      </c>
      <c r="V299" s="15" t="inlineStr">
        <is>
          <t>Chưa xác minh</t>
        </is>
      </c>
      <c r="W299" s="15" t="n"/>
      <c r="X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inlineStr">
        <is>
          <t>DRAFT — CHƯA DUYỆT</t>
        </is>
      </c>
      <c r="T300" s="15" t="inlineStr">
        <is>
          <t>Chưa xác minh</t>
        </is>
      </c>
      <c r="U300" s="15" t="inlineStr">
        <is>
          <t>Chưa xác minh</t>
        </is>
      </c>
      <c r="V300" s="15" t="inlineStr">
        <is>
          <t>Chưa xác minh</t>
        </is>
      </c>
      <c r="W300" s="15" t="n"/>
      <c r="X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inlineStr">
        <is>
          <t>DRAFT — CHƯA DUYỆT</t>
        </is>
      </c>
      <c r="T301" s="15" t="inlineStr">
        <is>
          <t>Chưa xác minh</t>
        </is>
      </c>
      <c r="U301" s="15" t="inlineStr">
        <is>
          <t>Chưa xác minh</t>
        </is>
      </c>
      <c r="V301" s="15" t="inlineStr">
        <is>
          <t>Chưa xác minh</t>
        </is>
      </c>
      <c r="W301" s="15" t="n"/>
      <c r="X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inlineStr">
        <is>
          <t>DRAFT — CHƯA DUYỆT</t>
        </is>
      </c>
      <c r="T302" s="15" t="inlineStr">
        <is>
          <t>Chưa xác minh</t>
        </is>
      </c>
      <c r="U302" s="15" t="inlineStr">
        <is>
          <t>Chưa xác minh</t>
        </is>
      </c>
      <c r="V302" s="15" t="inlineStr">
        <is>
          <t>Chưa xác minh</t>
        </is>
      </c>
      <c r="W302" s="15" t="n"/>
      <c r="X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inlineStr">
        <is>
          <t>DRAFT — CHƯA DUYỆT</t>
        </is>
      </c>
      <c r="T303" s="15" t="inlineStr">
        <is>
          <t>Chưa xác minh</t>
        </is>
      </c>
      <c r="U303" s="15" t="inlineStr">
        <is>
          <t>Chưa xác minh</t>
        </is>
      </c>
      <c r="V303" s="15" t="inlineStr">
        <is>
          <t>Chưa xác minh</t>
        </is>
      </c>
      <c r="W303" s="15" t="n"/>
      <c r="X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inlineStr">
        <is>
          <t>DRAFT — CHƯA DUYỆT</t>
        </is>
      </c>
      <c r="T304" s="15" t="inlineStr">
        <is>
          <t>Chưa xác minh</t>
        </is>
      </c>
      <c r="U304" s="15" t="inlineStr">
        <is>
          <t>Chưa xác minh</t>
        </is>
      </c>
      <c r="V304" s="15" t="inlineStr">
        <is>
          <t>Chưa xác minh</t>
        </is>
      </c>
      <c r="W304" s="15" t="n"/>
      <c r="X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inlineStr">
        <is>
          <t>DRAFT — CHƯA DUYỆT</t>
        </is>
      </c>
      <c r="T305" s="15" t="inlineStr">
        <is>
          <t>Chưa xác minh</t>
        </is>
      </c>
      <c r="U305" s="15" t="inlineStr">
        <is>
          <t>Chưa xác minh</t>
        </is>
      </c>
      <c r="V305" s="15" t="inlineStr">
        <is>
          <t>Chưa xác minh</t>
        </is>
      </c>
      <c r="W305" s="15" t="n"/>
      <c r="X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inlineStr">
        <is>
          <t>DRAFT — CHƯA DUYỆT</t>
        </is>
      </c>
      <c r="T306" s="15" t="inlineStr">
        <is>
          <t>Chưa xác minh</t>
        </is>
      </c>
      <c r="U306" s="15" t="inlineStr">
        <is>
          <t>Chưa xác minh</t>
        </is>
      </c>
      <c r="V306" s="15" t="inlineStr">
        <is>
          <t>Chưa xác minh</t>
        </is>
      </c>
      <c r="W306" s="15" t="n"/>
      <c r="X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inlineStr">
        <is>
          <t>DRAFT — CHƯA DUYỆT</t>
        </is>
      </c>
      <c r="T307" s="15" t="inlineStr">
        <is>
          <t>Chưa xác minh</t>
        </is>
      </c>
      <c r="U307" s="15" t="inlineStr">
        <is>
          <t>Chưa xác minh</t>
        </is>
      </c>
      <c r="V307" s="15" t="inlineStr">
        <is>
          <t>Chưa xác minh</t>
        </is>
      </c>
      <c r="W307" s="15" t="n"/>
      <c r="X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inlineStr">
        <is>
          <t>DRAFT — CHƯA DUYỆT</t>
        </is>
      </c>
      <c r="T308" s="15" t="inlineStr">
        <is>
          <t>Chưa xác minh</t>
        </is>
      </c>
      <c r="U308" s="15" t="inlineStr">
        <is>
          <t>Chưa xác minh</t>
        </is>
      </c>
      <c r="V308" s="15" t="inlineStr">
        <is>
          <t>Chưa xác minh</t>
        </is>
      </c>
      <c r="W308" s="15" t="n"/>
      <c r="X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inlineStr">
        <is>
          <t>DRAFT — CHƯA DUYỆT</t>
        </is>
      </c>
      <c r="T309" s="15" t="inlineStr">
        <is>
          <t>Chưa xác minh</t>
        </is>
      </c>
      <c r="U309" s="15" t="inlineStr">
        <is>
          <t>Chưa xác minh</t>
        </is>
      </c>
      <c r="V309" s="15" t="inlineStr">
        <is>
          <t>Chưa xác minh</t>
        </is>
      </c>
      <c r="W309" s="15" t="n"/>
      <c r="X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inlineStr">
        <is>
          <t>DRAFT — CHƯA DUYỆT</t>
        </is>
      </c>
      <c r="T310" s="15" t="inlineStr">
        <is>
          <t>Chưa xác minh</t>
        </is>
      </c>
      <c r="U310" s="15" t="inlineStr">
        <is>
          <t>Chưa xác minh</t>
        </is>
      </c>
      <c r="V310" s="15" t="inlineStr">
        <is>
          <t>Chưa xác minh</t>
        </is>
      </c>
      <c r="W310" s="15" t="n"/>
      <c r="X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inlineStr">
        <is>
          <t>DRAFT — CHƯA DUYỆT</t>
        </is>
      </c>
      <c r="T311" s="15" t="inlineStr">
        <is>
          <t>Chưa xác minh</t>
        </is>
      </c>
      <c r="U311" s="15" t="inlineStr">
        <is>
          <t>Chưa xác minh</t>
        </is>
      </c>
      <c r="V311" s="15" t="inlineStr">
        <is>
          <t>Chưa xác minh</t>
        </is>
      </c>
      <c r="W311" s="15" t="n"/>
      <c r="X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inlineStr">
        <is>
          <t>DRAFT — CHƯA DUYỆT</t>
        </is>
      </c>
      <c r="T312" s="15" t="inlineStr">
        <is>
          <t>Chưa xác minh</t>
        </is>
      </c>
      <c r="U312" s="15" t="inlineStr">
        <is>
          <t>Chưa xác minh</t>
        </is>
      </c>
      <c r="V312" s="15" t="inlineStr">
        <is>
          <t>Chưa xác minh</t>
        </is>
      </c>
      <c r="W312" s="15" t="n"/>
      <c r="X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inlineStr">
        <is>
          <t>DRAFT — CHƯA DUYỆT</t>
        </is>
      </c>
      <c r="T313" s="15" t="inlineStr">
        <is>
          <t>Chưa xác minh</t>
        </is>
      </c>
      <c r="U313" s="15" t="inlineStr">
        <is>
          <t>Chưa xác minh</t>
        </is>
      </c>
      <c r="V313" s="15" t="inlineStr">
        <is>
          <t>Chưa xác minh</t>
        </is>
      </c>
      <c r="W313" s="15" t="n"/>
      <c r="X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inlineStr">
        <is>
          <t>DRAFT — CHƯA DUYỆT</t>
        </is>
      </c>
      <c r="T314" s="15" t="inlineStr">
        <is>
          <t>Chưa xác minh</t>
        </is>
      </c>
      <c r="U314" s="15" t="inlineStr">
        <is>
          <t>Chưa xác minh</t>
        </is>
      </c>
      <c r="V314" s="15" t="inlineStr">
        <is>
          <t>Chưa xác minh</t>
        </is>
      </c>
      <c r="W314" s="15" t="n"/>
      <c r="X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inlineStr">
        <is>
          <t>DRAFT — CHƯA DUYỆT</t>
        </is>
      </c>
      <c r="T315" s="15" t="inlineStr">
        <is>
          <t>Chưa xác minh</t>
        </is>
      </c>
      <c r="U315" s="15" t="inlineStr">
        <is>
          <t>Chưa xác minh</t>
        </is>
      </c>
      <c r="V315" s="15" t="inlineStr">
        <is>
          <t>Chưa xác minh</t>
        </is>
      </c>
      <c r="W315" s="15" t="n"/>
      <c r="X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inlineStr">
        <is>
          <t>DRAFT — CHƯA DUYỆT</t>
        </is>
      </c>
      <c r="T316" s="15" t="inlineStr">
        <is>
          <t>Chưa xác minh</t>
        </is>
      </c>
      <c r="U316" s="15" t="inlineStr">
        <is>
          <t>Chưa xác minh</t>
        </is>
      </c>
      <c r="V316" s="15" t="inlineStr">
        <is>
          <t>Chưa xác minh</t>
        </is>
      </c>
      <c r="W316" s="15" t="n"/>
      <c r="X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inlineStr">
        <is>
          <t>DRAFT — CHƯA DUYỆT</t>
        </is>
      </c>
      <c r="T317" s="15" t="inlineStr">
        <is>
          <t>Chưa xác minh</t>
        </is>
      </c>
      <c r="U317" s="15" t="inlineStr">
        <is>
          <t>Chưa xác minh</t>
        </is>
      </c>
      <c r="V317" s="15" t="inlineStr">
        <is>
          <t>Chưa xác minh</t>
        </is>
      </c>
      <c r="W317" s="15" t="n"/>
      <c r="X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inlineStr">
        <is>
          <t>DRAFT — CHƯA DUYỆT</t>
        </is>
      </c>
      <c r="T318" s="15" t="inlineStr">
        <is>
          <t>Chưa xác minh</t>
        </is>
      </c>
      <c r="U318" s="15" t="inlineStr">
        <is>
          <t>Chưa xác minh</t>
        </is>
      </c>
      <c r="V318" s="15" t="inlineStr">
        <is>
          <t>Chưa xác minh</t>
        </is>
      </c>
      <c r="W318" s="15" t="n"/>
      <c r="X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inlineStr">
        <is>
          <t>DRAFT — CHƯA DUYỆT</t>
        </is>
      </c>
      <c r="T319" s="15" t="inlineStr">
        <is>
          <t>Chưa xác minh</t>
        </is>
      </c>
      <c r="U319" s="15" t="inlineStr">
        <is>
          <t>Chưa xác minh</t>
        </is>
      </c>
      <c r="V319" s="15" t="inlineStr">
        <is>
          <t>Chưa xác minh</t>
        </is>
      </c>
      <c r="W319" s="15" t="n"/>
      <c r="X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inlineStr">
        <is>
          <t>DRAFT — CHƯA DUYỆT</t>
        </is>
      </c>
      <c r="T320" s="15" t="inlineStr">
        <is>
          <t>Chưa xác minh</t>
        </is>
      </c>
      <c r="U320" s="15" t="inlineStr">
        <is>
          <t>Chưa xác minh</t>
        </is>
      </c>
      <c r="V320" s="15" t="inlineStr">
        <is>
          <t>Chưa xác minh</t>
        </is>
      </c>
      <c r="W320" s="15" t="n"/>
      <c r="X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inlineStr">
        <is>
          <t>DRAFT — CHƯA DUYỆT</t>
        </is>
      </c>
      <c r="T321" s="15" t="inlineStr">
        <is>
          <t>Chưa xác minh</t>
        </is>
      </c>
      <c r="U321" s="15" t="inlineStr">
        <is>
          <t>Chưa xác minh</t>
        </is>
      </c>
      <c r="V321" s="15" t="inlineStr">
        <is>
          <t>Chưa xác minh</t>
        </is>
      </c>
      <c r="W321" s="15" t="n"/>
      <c r="X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inlineStr">
        <is>
          <t>DRAFT — CHƯA DUYỆT</t>
        </is>
      </c>
      <c r="T322" s="15" t="inlineStr">
        <is>
          <t>Chưa xác minh</t>
        </is>
      </c>
      <c r="U322" s="15" t="inlineStr">
        <is>
          <t>Chưa xác minh</t>
        </is>
      </c>
      <c r="V322" s="15" t="inlineStr">
        <is>
          <t>Chưa xác minh</t>
        </is>
      </c>
      <c r="W322" s="15" t="n"/>
      <c r="X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inlineStr">
        <is>
          <t>DRAFT — CHƯA DUYỆT</t>
        </is>
      </c>
      <c r="T323" s="15" t="inlineStr">
        <is>
          <t>Chưa xác minh</t>
        </is>
      </c>
      <c r="U323" s="15" t="inlineStr">
        <is>
          <t>Chưa xác minh</t>
        </is>
      </c>
      <c r="V323" s="15" t="inlineStr">
        <is>
          <t>Chưa xác minh</t>
        </is>
      </c>
      <c r="W323" s="15" t="n"/>
      <c r="X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inlineStr">
        <is>
          <t>DRAFT — CHƯA DUYỆT</t>
        </is>
      </c>
      <c r="T324" s="15" t="inlineStr">
        <is>
          <t>Chưa xác minh</t>
        </is>
      </c>
      <c r="U324" s="15" t="inlineStr">
        <is>
          <t>Chưa xác minh</t>
        </is>
      </c>
      <c r="V324" s="15" t="inlineStr">
        <is>
          <t>Chưa xác minh</t>
        </is>
      </c>
      <c r="W324" s="15" t="n"/>
      <c r="X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inlineStr">
        <is>
          <t>DRAFT — CHƯA DUYỆT</t>
        </is>
      </c>
      <c r="T325" s="15" t="inlineStr">
        <is>
          <t>Chưa xác minh</t>
        </is>
      </c>
      <c r="U325" s="15" t="inlineStr">
        <is>
          <t>Chưa xác minh</t>
        </is>
      </c>
      <c r="V325" s="15" t="inlineStr">
        <is>
          <t>Chưa xác minh</t>
        </is>
      </c>
      <c r="W325" s="15" t="n"/>
      <c r="X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inlineStr">
        <is>
          <t>DRAFT — CHƯA DUYỆT</t>
        </is>
      </c>
      <c r="T326" s="15" t="inlineStr">
        <is>
          <t>Chưa xác minh</t>
        </is>
      </c>
      <c r="U326" s="15" t="inlineStr">
        <is>
          <t>Chưa xác minh</t>
        </is>
      </c>
      <c r="V326" s="15" t="inlineStr">
        <is>
          <t>Chưa xác minh</t>
        </is>
      </c>
      <c r="W326" s="15" t="n"/>
      <c r="X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inlineStr">
        <is>
          <t>DRAFT — CHƯA DUYỆT</t>
        </is>
      </c>
      <c r="T327" s="15" t="inlineStr">
        <is>
          <t>Chưa xác minh</t>
        </is>
      </c>
      <c r="U327" s="15" t="inlineStr">
        <is>
          <t>Chưa xác minh</t>
        </is>
      </c>
      <c r="V327" s="15" t="inlineStr">
        <is>
          <t>Chưa xác minh</t>
        </is>
      </c>
      <c r="W327" s="15" t="n"/>
      <c r="X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inlineStr">
        <is>
          <t>DRAFT — CHƯA DUYỆT</t>
        </is>
      </c>
      <c r="T328" s="15" t="inlineStr">
        <is>
          <t>Chưa xác minh</t>
        </is>
      </c>
      <c r="U328" s="15" t="inlineStr">
        <is>
          <t>Chưa xác minh</t>
        </is>
      </c>
      <c r="V328" s="15" t="inlineStr">
        <is>
          <t>Chưa xác minh</t>
        </is>
      </c>
      <c r="W328" s="15" t="n"/>
      <c r="X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inlineStr">
        <is>
          <t>DRAFT — CHƯA DUYỆT</t>
        </is>
      </c>
      <c r="T329" s="15" t="inlineStr">
        <is>
          <t>Chưa xác minh</t>
        </is>
      </c>
      <c r="U329" s="15" t="inlineStr">
        <is>
          <t>Chưa xác minh</t>
        </is>
      </c>
      <c r="V329" s="15" t="inlineStr">
        <is>
          <t>Chưa xác minh</t>
        </is>
      </c>
      <c r="W329" s="15" t="n"/>
      <c r="X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inlineStr">
        <is>
          <t>DRAFT — CHƯA DUYỆT</t>
        </is>
      </c>
      <c r="T330" s="15" t="inlineStr">
        <is>
          <t>Chưa xác minh</t>
        </is>
      </c>
      <c r="U330" s="15" t="inlineStr">
        <is>
          <t>Chưa xác minh</t>
        </is>
      </c>
      <c r="V330" s="15" t="inlineStr">
        <is>
          <t>Chưa xác minh</t>
        </is>
      </c>
      <c r="W330" s="15" t="n"/>
      <c r="X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inlineStr">
        <is>
          <t>DRAFT — CHƯA DUYỆT</t>
        </is>
      </c>
      <c r="T331" s="15" t="inlineStr">
        <is>
          <t>Chưa xác minh</t>
        </is>
      </c>
      <c r="U331" s="15" t="inlineStr">
        <is>
          <t>Chưa xác minh</t>
        </is>
      </c>
      <c r="V331" s="15" t="inlineStr">
        <is>
          <t>Chưa xác minh</t>
        </is>
      </c>
      <c r="W331" s="15" t="n"/>
      <c r="X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inlineStr">
        <is>
          <t>DRAFT — CHƯA DUYỆT</t>
        </is>
      </c>
      <c r="T332" s="15" t="inlineStr">
        <is>
          <t>Chưa xác minh</t>
        </is>
      </c>
      <c r="U332" s="15" t="inlineStr">
        <is>
          <t>Chưa xác minh</t>
        </is>
      </c>
      <c r="V332" s="15" t="inlineStr">
        <is>
          <t>Chưa xác minh</t>
        </is>
      </c>
      <c r="W332" s="15" t="n"/>
      <c r="X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inlineStr">
        <is>
          <t>DRAFT — CHƯA DUYỆT</t>
        </is>
      </c>
      <c r="T333" s="15" t="inlineStr">
        <is>
          <t>Chưa xác minh</t>
        </is>
      </c>
      <c r="U333" s="15" t="inlineStr">
        <is>
          <t>Chưa xác minh</t>
        </is>
      </c>
      <c r="V333" s="15" t="inlineStr">
        <is>
          <t>Chưa xác minh</t>
        </is>
      </c>
      <c r="W333" s="15" t="n"/>
      <c r="X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inlineStr">
        <is>
          <t>DRAFT — CHƯA DUYỆT</t>
        </is>
      </c>
      <c r="T334" s="15" t="inlineStr">
        <is>
          <t>Chưa xác minh</t>
        </is>
      </c>
      <c r="U334" s="15" t="inlineStr">
        <is>
          <t>Chưa xác minh</t>
        </is>
      </c>
      <c r="V334" s="15" t="inlineStr">
        <is>
          <t>Chưa xác minh</t>
        </is>
      </c>
      <c r="W334" s="15" t="n"/>
      <c r="X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inlineStr">
        <is>
          <t>DRAFT — CHƯA DUYỆT</t>
        </is>
      </c>
      <c r="T335" s="15" t="inlineStr">
        <is>
          <t>Chưa xác minh</t>
        </is>
      </c>
      <c r="U335" s="15" t="inlineStr">
        <is>
          <t>Chưa xác minh</t>
        </is>
      </c>
      <c r="V335" s="15" t="inlineStr">
        <is>
          <t>Chưa xác minh</t>
        </is>
      </c>
      <c r="W335" s="15" t="n"/>
      <c r="X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inlineStr">
        <is>
          <t>DRAFT — CHƯA DUYỆT</t>
        </is>
      </c>
      <c r="T336" s="15" t="inlineStr">
        <is>
          <t>Chưa xác minh</t>
        </is>
      </c>
      <c r="U336" s="15" t="inlineStr">
        <is>
          <t>Chưa xác minh</t>
        </is>
      </c>
      <c r="V336" s="15" t="inlineStr">
        <is>
          <t>Chưa xác minh</t>
        </is>
      </c>
      <c r="W336" s="15" t="n"/>
      <c r="X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inlineStr">
        <is>
          <t>DRAFT — CHƯA DUYỆT</t>
        </is>
      </c>
      <c r="T337" s="15" t="inlineStr">
        <is>
          <t>Chưa xác minh</t>
        </is>
      </c>
      <c r="U337" s="15" t="inlineStr">
        <is>
          <t>Chưa xác minh</t>
        </is>
      </c>
      <c r="V337" s="15" t="inlineStr">
        <is>
          <t>Chưa xác minh</t>
        </is>
      </c>
      <c r="W337" s="15" t="n"/>
      <c r="X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inlineStr">
        <is>
          <t>DRAFT — CHƯA DUYỆT</t>
        </is>
      </c>
      <c r="T338" s="15" t="inlineStr">
        <is>
          <t>Chưa xác minh</t>
        </is>
      </c>
      <c r="U338" s="15" t="inlineStr">
        <is>
          <t>Chưa xác minh</t>
        </is>
      </c>
      <c r="V338" s="15" t="inlineStr">
        <is>
          <t>Chưa xác minh</t>
        </is>
      </c>
      <c r="W338" s="15" t="n"/>
      <c r="X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inlineStr">
        <is>
          <t>DRAFT — CHƯA DUYỆT</t>
        </is>
      </c>
      <c r="T339" s="15" t="inlineStr">
        <is>
          <t>Chưa xác minh</t>
        </is>
      </c>
      <c r="U339" s="15" t="inlineStr">
        <is>
          <t>Chưa xác minh</t>
        </is>
      </c>
      <c r="V339" s="15" t="inlineStr">
        <is>
          <t>Chưa xác minh</t>
        </is>
      </c>
      <c r="W339" s="15" t="n"/>
      <c r="X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inlineStr">
        <is>
          <t>DRAFT — CHƯA DUYỆT</t>
        </is>
      </c>
      <c r="T340" s="15" t="inlineStr">
        <is>
          <t>Chưa xác minh</t>
        </is>
      </c>
      <c r="U340" s="15" t="inlineStr">
        <is>
          <t>Chưa xác minh</t>
        </is>
      </c>
      <c r="V340" s="15" t="inlineStr">
        <is>
          <t>Chưa xác minh</t>
        </is>
      </c>
      <c r="W340" s="15" t="n"/>
      <c r="X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inlineStr">
        <is>
          <t>DRAFT — CHƯA DUYỆT</t>
        </is>
      </c>
      <c r="T341" s="15" t="inlineStr">
        <is>
          <t>Chưa xác minh</t>
        </is>
      </c>
      <c r="U341" s="15" t="inlineStr">
        <is>
          <t>Chưa xác minh</t>
        </is>
      </c>
      <c r="V341" s="15" t="inlineStr">
        <is>
          <t>Chưa xác minh</t>
        </is>
      </c>
      <c r="W341" s="15" t="n"/>
      <c r="X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inlineStr">
        <is>
          <t>DRAFT — CHƯA DUYỆT</t>
        </is>
      </c>
      <c r="T342" s="15" t="inlineStr">
        <is>
          <t>Chưa xác minh</t>
        </is>
      </c>
      <c r="U342" s="15" t="inlineStr">
        <is>
          <t>Chưa xác minh</t>
        </is>
      </c>
      <c r="V342" s="15" t="inlineStr">
        <is>
          <t>Chưa xác minh</t>
        </is>
      </c>
      <c r="W342" s="15" t="n"/>
      <c r="X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inlineStr">
        <is>
          <t>DRAFT — CHƯA DUYỆT</t>
        </is>
      </c>
      <c r="T343" s="15" t="inlineStr">
        <is>
          <t>Chưa xác minh</t>
        </is>
      </c>
      <c r="U343" s="15" t="inlineStr">
        <is>
          <t>Chưa xác minh</t>
        </is>
      </c>
      <c r="V343" s="15" t="inlineStr">
        <is>
          <t>Chưa xác minh</t>
        </is>
      </c>
      <c r="W343" s="15" t="n"/>
      <c r="X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inlineStr">
        <is>
          <t>DRAFT — CHƯA DUYỆT</t>
        </is>
      </c>
      <c r="T344" s="15" t="inlineStr">
        <is>
          <t>Chưa xác minh</t>
        </is>
      </c>
      <c r="U344" s="15" t="inlineStr">
        <is>
          <t>Chưa xác minh</t>
        </is>
      </c>
      <c r="V344" s="15" t="inlineStr">
        <is>
          <t>Chưa xác minh</t>
        </is>
      </c>
      <c r="W344" s="15" t="n"/>
      <c r="X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inlineStr">
        <is>
          <t>DRAFT — CHƯA DUYỆT</t>
        </is>
      </c>
      <c r="T345" s="15" t="inlineStr">
        <is>
          <t>Chưa xác minh</t>
        </is>
      </c>
      <c r="U345" s="15" t="inlineStr">
        <is>
          <t>Chưa xác minh</t>
        </is>
      </c>
      <c r="V345" s="15" t="inlineStr">
        <is>
          <t>Chưa xác minh</t>
        </is>
      </c>
      <c r="W345" s="15" t="n"/>
      <c r="X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inlineStr">
        <is>
          <t>DRAFT — CHƯA DUYỆT</t>
        </is>
      </c>
      <c r="T346" s="15" t="inlineStr">
        <is>
          <t>Chưa xác minh</t>
        </is>
      </c>
      <c r="U346" s="15" t="inlineStr">
        <is>
          <t>Chưa xác minh</t>
        </is>
      </c>
      <c r="V346" s="15" t="inlineStr">
        <is>
          <t>Chưa xác minh</t>
        </is>
      </c>
      <c r="W346" s="15" t="n"/>
      <c r="X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inlineStr">
        <is>
          <t>DRAFT — CHƯA DUYỆT</t>
        </is>
      </c>
      <c r="T347" s="15" t="inlineStr">
        <is>
          <t>Chưa xác minh</t>
        </is>
      </c>
      <c r="U347" s="15" t="inlineStr">
        <is>
          <t>Chưa xác minh</t>
        </is>
      </c>
      <c r="V347" s="15" t="inlineStr">
        <is>
          <t>Chưa xác minh</t>
        </is>
      </c>
      <c r="W347" s="15" t="n"/>
      <c r="X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inlineStr">
        <is>
          <t>DRAFT — CHƯA DUYỆT</t>
        </is>
      </c>
      <c r="T348" s="15" t="inlineStr">
        <is>
          <t>Chưa xác minh</t>
        </is>
      </c>
      <c r="U348" s="15" t="inlineStr">
        <is>
          <t>Chưa xác minh</t>
        </is>
      </c>
      <c r="V348" s="15" t="inlineStr">
        <is>
          <t>Chưa xác minh</t>
        </is>
      </c>
      <c r="W348" s="15" t="n"/>
      <c r="X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inlineStr">
        <is>
          <t>DRAFT — CHƯA DUYỆT</t>
        </is>
      </c>
      <c r="T349" s="15" t="inlineStr">
        <is>
          <t>Chưa xác minh</t>
        </is>
      </c>
      <c r="U349" s="15" t="inlineStr">
        <is>
          <t>Chưa xác minh</t>
        </is>
      </c>
      <c r="V349" s="15" t="inlineStr">
        <is>
          <t>Chưa xác minh</t>
        </is>
      </c>
      <c r="W349" s="15" t="n"/>
      <c r="X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inlineStr">
        <is>
          <t>DRAFT — CHƯA DUYỆT</t>
        </is>
      </c>
      <c r="T350" s="15" t="inlineStr">
        <is>
          <t>Chưa xác minh</t>
        </is>
      </c>
      <c r="U350" s="15" t="inlineStr">
        <is>
          <t>Chưa xác minh</t>
        </is>
      </c>
      <c r="V350" s="15" t="inlineStr">
        <is>
          <t>Chưa xác minh</t>
        </is>
      </c>
      <c r="W350" s="15" t="n"/>
      <c r="X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inlineStr">
        <is>
          <t>DRAFT — CHƯA DUYỆT</t>
        </is>
      </c>
      <c r="T351" s="15" t="inlineStr">
        <is>
          <t>Chưa xác minh</t>
        </is>
      </c>
      <c r="U351" s="15" t="inlineStr">
        <is>
          <t>Chưa xác minh</t>
        </is>
      </c>
      <c r="V351" s="15" t="inlineStr">
        <is>
          <t>Chưa xác minh</t>
        </is>
      </c>
      <c r="W351" s="15" t="n"/>
      <c r="X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inlineStr">
        <is>
          <t>DRAFT — CHƯA DUYỆT</t>
        </is>
      </c>
      <c r="T352" s="15" t="inlineStr">
        <is>
          <t>Chưa xác minh</t>
        </is>
      </c>
      <c r="U352" s="15" t="inlineStr">
        <is>
          <t>Chưa xác minh</t>
        </is>
      </c>
      <c r="V352" s="15" t="inlineStr">
        <is>
          <t>Chưa xác minh</t>
        </is>
      </c>
      <c r="W352" s="15" t="n"/>
      <c r="X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inlineStr">
        <is>
          <t>DRAFT — CHƯA DUYỆT</t>
        </is>
      </c>
      <c r="T353" s="15" t="inlineStr">
        <is>
          <t>Chưa xác minh</t>
        </is>
      </c>
      <c r="U353" s="15" t="inlineStr">
        <is>
          <t>Chưa xác minh</t>
        </is>
      </c>
      <c r="V353" s="15" t="inlineStr">
        <is>
          <t>Chưa xác minh</t>
        </is>
      </c>
      <c r="W353" s="15" t="n"/>
      <c r="X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inlineStr">
        <is>
          <t>DRAFT — CHƯA DUYỆT</t>
        </is>
      </c>
      <c r="T354" s="15" t="inlineStr">
        <is>
          <t>Chưa xác minh</t>
        </is>
      </c>
      <c r="U354" s="15" t="inlineStr">
        <is>
          <t>Chưa xác minh</t>
        </is>
      </c>
      <c r="V354" s="15" t="inlineStr">
        <is>
          <t>Chưa xác minh</t>
        </is>
      </c>
      <c r="W354" s="15" t="n"/>
      <c r="X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inlineStr">
        <is>
          <t>DRAFT — CHƯA DUYỆT</t>
        </is>
      </c>
      <c r="T355" s="15" t="inlineStr">
        <is>
          <t>Chưa xác minh</t>
        </is>
      </c>
      <c r="U355" s="15" t="inlineStr">
        <is>
          <t>Chưa xác minh</t>
        </is>
      </c>
      <c r="V355" s="15" t="inlineStr">
        <is>
          <t>Chưa xác minh</t>
        </is>
      </c>
      <c r="W355" s="15" t="n"/>
      <c r="X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inlineStr">
        <is>
          <t>DRAFT — CHƯA DUYỆT</t>
        </is>
      </c>
      <c r="T356" s="15" t="inlineStr">
        <is>
          <t>Chưa xác minh</t>
        </is>
      </c>
      <c r="U356" s="15" t="inlineStr">
        <is>
          <t>Chưa xác minh</t>
        </is>
      </c>
      <c r="V356" s="15" t="inlineStr">
        <is>
          <t>Chưa xác minh</t>
        </is>
      </c>
      <c r="W356" s="15" t="n"/>
      <c r="X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inlineStr">
        <is>
          <t>DRAFT — CHƯA DUYỆT</t>
        </is>
      </c>
      <c r="T357" s="15" t="inlineStr">
        <is>
          <t>Chưa xác minh</t>
        </is>
      </c>
      <c r="U357" s="15" t="inlineStr">
        <is>
          <t>Chưa xác minh</t>
        </is>
      </c>
      <c r="V357" s="15" t="inlineStr">
        <is>
          <t>Chưa xác minh</t>
        </is>
      </c>
      <c r="W357" s="15" t="n"/>
      <c r="X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inlineStr">
        <is>
          <t>DRAFT — CHƯA DUYỆT</t>
        </is>
      </c>
      <c r="T358" s="15" t="inlineStr">
        <is>
          <t>Chưa xác minh</t>
        </is>
      </c>
      <c r="U358" s="15" t="inlineStr">
        <is>
          <t>Chưa xác minh</t>
        </is>
      </c>
      <c r="V358" s="15" t="inlineStr">
        <is>
          <t>Chưa xác minh</t>
        </is>
      </c>
      <c r="W358" s="15" t="n"/>
      <c r="X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inlineStr">
        <is>
          <t>DRAFT — CHƯA DUYỆT</t>
        </is>
      </c>
      <c r="T359" s="15" t="inlineStr">
        <is>
          <t>Chưa xác minh</t>
        </is>
      </c>
      <c r="U359" s="15" t="inlineStr">
        <is>
          <t>Chưa xác minh</t>
        </is>
      </c>
      <c r="V359" s="15" t="inlineStr">
        <is>
          <t>Chưa xác minh</t>
        </is>
      </c>
      <c r="W359" s="15" t="n"/>
      <c r="X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inlineStr">
        <is>
          <t>DRAFT — CHƯA DUYỆT</t>
        </is>
      </c>
      <c r="T360" s="15" t="inlineStr">
        <is>
          <t>Chưa xác minh</t>
        </is>
      </c>
      <c r="U360" s="15" t="inlineStr">
        <is>
          <t>Chưa xác minh</t>
        </is>
      </c>
      <c r="V360" s="15" t="inlineStr">
        <is>
          <t>Chưa xác minh</t>
        </is>
      </c>
      <c r="W360" s="15" t="n"/>
      <c r="X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inlineStr">
        <is>
          <t>DRAFT — CHƯA DUYỆT</t>
        </is>
      </c>
      <c r="T361" s="15" t="inlineStr">
        <is>
          <t>Chưa xác minh</t>
        </is>
      </c>
      <c r="U361" s="15" t="inlineStr">
        <is>
          <t>Chưa xác minh</t>
        </is>
      </c>
      <c r="V361" s="15" t="inlineStr">
        <is>
          <t>Chưa xác minh</t>
        </is>
      </c>
      <c r="W361" s="15" t="n"/>
      <c r="X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inlineStr">
        <is>
          <t>DRAFT — CHƯA DUYỆT</t>
        </is>
      </c>
      <c r="T362" s="15" t="inlineStr">
        <is>
          <t>Chưa xác minh</t>
        </is>
      </c>
      <c r="U362" s="15" t="inlineStr">
        <is>
          <t>Chưa xác minh</t>
        </is>
      </c>
      <c r="V362" s="15" t="inlineStr">
        <is>
          <t>Chưa xác minh</t>
        </is>
      </c>
      <c r="W362" s="15" t="n"/>
      <c r="X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inlineStr">
        <is>
          <t>DRAFT — CHƯA DUYỆT</t>
        </is>
      </c>
      <c r="T363" s="15" t="inlineStr">
        <is>
          <t>Chưa xác minh</t>
        </is>
      </c>
      <c r="U363" s="15" t="inlineStr">
        <is>
          <t>Chưa xác minh</t>
        </is>
      </c>
      <c r="V363" s="15" t="inlineStr">
        <is>
          <t>Chưa xác minh</t>
        </is>
      </c>
      <c r="W363" s="15" t="n"/>
      <c r="X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inlineStr">
        <is>
          <t>DRAFT — CHƯA DUYỆT</t>
        </is>
      </c>
      <c r="T364" s="15" t="inlineStr">
        <is>
          <t>Chưa xác minh</t>
        </is>
      </c>
      <c r="U364" s="15" t="inlineStr">
        <is>
          <t>Chưa xác minh</t>
        </is>
      </c>
      <c r="V364" s="15" t="inlineStr">
        <is>
          <t>Chưa xác minh</t>
        </is>
      </c>
      <c r="W364" s="15" t="n"/>
      <c r="X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inlineStr">
        <is>
          <t>DRAFT — CHƯA DUYỆT</t>
        </is>
      </c>
      <c r="T365" s="15" t="inlineStr">
        <is>
          <t>Chưa xác minh</t>
        </is>
      </c>
      <c r="U365" s="15" t="inlineStr">
        <is>
          <t>Chưa xác minh</t>
        </is>
      </c>
      <c r="V365" s="15" t="inlineStr">
        <is>
          <t>Chưa xác minh</t>
        </is>
      </c>
      <c r="W365" s="15" t="n"/>
      <c r="X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inlineStr">
        <is>
          <t>DRAFT — CHƯA DUYỆT</t>
        </is>
      </c>
      <c r="T366" s="15" t="inlineStr">
        <is>
          <t>Chưa xác minh</t>
        </is>
      </c>
      <c r="U366" s="15" t="inlineStr">
        <is>
          <t>Chưa xác minh</t>
        </is>
      </c>
      <c r="V366" s="15" t="inlineStr">
        <is>
          <t>Chưa xác minh</t>
        </is>
      </c>
      <c r="W366" s="15" t="n"/>
      <c r="X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inlineStr">
        <is>
          <t>DRAFT — CHƯA DUYỆT</t>
        </is>
      </c>
      <c r="T367" s="15" t="inlineStr">
        <is>
          <t>Chưa xác minh</t>
        </is>
      </c>
      <c r="U367" s="15" t="inlineStr">
        <is>
          <t>Chưa xác minh</t>
        </is>
      </c>
      <c r="V367" s="15" t="inlineStr">
        <is>
          <t>Chưa xác minh</t>
        </is>
      </c>
      <c r="W367" s="15" t="n"/>
      <c r="X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inlineStr">
        <is>
          <t>DRAFT — CHƯA DUYỆT</t>
        </is>
      </c>
      <c r="T368" s="15" t="inlineStr">
        <is>
          <t>Chưa xác minh</t>
        </is>
      </c>
      <c r="U368" s="15" t="inlineStr">
        <is>
          <t>Chưa xác minh</t>
        </is>
      </c>
      <c r="V368" s="15" t="inlineStr">
        <is>
          <t>Chưa xác minh</t>
        </is>
      </c>
      <c r="W368" s="15" t="n"/>
      <c r="X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inlineStr">
        <is>
          <t>DRAFT — CHƯA DUYỆT</t>
        </is>
      </c>
      <c r="T369" s="15" t="inlineStr">
        <is>
          <t>Chưa xác minh</t>
        </is>
      </c>
      <c r="U369" s="15" t="inlineStr">
        <is>
          <t>Chưa xác minh</t>
        </is>
      </c>
      <c r="V369" s="15" t="inlineStr">
        <is>
          <t>Chưa xác minh</t>
        </is>
      </c>
      <c r="W369" s="15" t="n"/>
      <c r="X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inlineStr">
        <is>
          <t>DRAFT — CHƯA DUYỆT</t>
        </is>
      </c>
      <c r="T370" s="15" t="inlineStr">
        <is>
          <t>Chưa xác minh</t>
        </is>
      </c>
      <c r="U370" s="15" t="inlineStr">
        <is>
          <t>Chưa xác minh</t>
        </is>
      </c>
      <c r="V370" s="15" t="inlineStr">
        <is>
          <t>Chưa xác minh</t>
        </is>
      </c>
      <c r="W370" s="15" t="n"/>
      <c r="X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inlineStr">
        <is>
          <t>DRAFT — CHƯA DUYỆT</t>
        </is>
      </c>
      <c r="T371" s="15" t="inlineStr">
        <is>
          <t>Chưa xác minh</t>
        </is>
      </c>
      <c r="U371" s="15" t="inlineStr">
        <is>
          <t>Chưa xác minh</t>
        </is>
      </c>
      <c r="V371" s="15" t="inlineStr">
        <is>
          <t>Chưa xác minh</t>
        </is>
      </c>
      <c r="W371" s="15" t="n"/>
      <c r="X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inlineStr">
        <is>
          <t>DRAFT — CHƯA DUYỆT</t>
        </is>
      </c>
      <c r="T372" s="15" t="inlineStr">
        <is>
          <t>Chưa xác minh</t>
        </is>
      </c>
      <c r="U372" s="15" t="inlineStr">
        <is>
          <t>Chưa xác minh</t>
        </is>
      </c>
      <c r="V372" s="15" t="inlineStr">
        <is>
          <t>Chưa xác minh</t>
        </is>
      </c>
      <c r="W372" s="15" t="n"/>
      <c r="X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inlineStr">
        <is>
          <t>DRAFT — CHƯA DUYỆT</t>
        </is>
      </c>
      <c r="T373" s="15" t="inlineStr">
        <is>
          <t>Chưa xác minh</t>
        </is>
      </c>
      <c r="U373" s="15" t="inlineStr">
        <is>
          <t>Chưa xác minh</t>
        </is>
      </c>
      <c r="V373" s="15" t="inlineStr">
        <is>
          <t>Chưa xác minh</t>
        </is>
      </c>
      <c r="W373" s="15" t="n"/>
      <c r="X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inlineStr">
        <is>
          <t>DRAFT — CHƯA DUYỆT</t>
        </is>
      </c>
      <c r="T374" s="15" t="inlineStr">
        <is>
          <t>Chưa xác minh</t>
        </is>
      </c>
      <c r="U374" s="15" t="inlineStr">
        <is>
          <t>Chưa xác minh</t>
        </is>
      </c>
      <c r="V374" s="15" t="inlineStr">
        <is>
          <t>Chưa xác minh</t>
        </is>
      </c>
      <c r="W374" s="15" t="n"/>
      <c r="X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inlineStr">
        <is>
          <t>DRAFT — CHƯA DUYỆT</t>
        </is>
      </c>
      <c r="T375" s="15" t="inlineStr">
        <is>
          <t>Chưa xác minh</t>
        </is>
      </c>
      <c r="U375" s="15" t="inlineStr">
        <is>
          <t>Chưa xác minh</t>
        </is>
      </c>
      <c r="V375" s="15" t="inlineStr">
        <is>
          <t>Chưa xác minh</t>
        </is>
      </c>
      <c r="W375" s="15" t="n"/>
      <c r="X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inlineStr">
        <is>
          <t>DRAFT — CHƯA DUYỆT</t>
        </is>
      </c>
      <c r="T376" s="15" t="inlineStr">
        <is>
          <t>Chưa xác minh</t>
        </is>
      </c>
      <c r="U376" s="15" t="inlineStr">
        <is>
          <t>Chưa xác minh</t>
        </is>
      </c>
      <c r="V376" s="15" t="inlineStr">
        <is>
          <t>Chưa xác minh</t>
        </is>
      </c>
      <c r="W376" s="15" t="n"/>
      <c r="X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inlineStr">
        <is>
          <t>DRAFT — CHƯA DUYỆT</t>
        </is>
      </c>
      <c r="T377" s="15" t="inlineStr">
        <is>
          <t>Chưa xác minh</t>
        </is>
      </c>
      <c r="U377" s="15" t="inlineStr">
        <is>
          <t>Chưa xác minh</t>
        </is>
      </c>
      <c r="V377" s="15" t="inlineStr">
        <is>
          <t>Chưa xác minh</t>
        </is>
      </c>
      <c r="W377" s="15" t="n"/>
      <c r="X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inlineStr">
        <is>
          <t>DRAFT — CHƯA DUYỆT</t>
        </is>
      </c>
      <c r="T378" s="15" t="inlineStr">
        <is>
          <t>Chưa xác minh</t>
        </is>
      </c>
      <c r="U378" s="15" t="inlineStr">
        <is>
          <t>Chưa xác minh</t>
        </is>
      </c>
      <c r="V378" s="15" t="inlineStr">
        <is>
          <t>Chưa xác minh</t>
        </is>
      </c>
      <c r="W378" s="15" t="n"/>
      <c r="X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inlineStr">
        <is>
          <t>DRAFT — CHƯA DUYỆT</t>
        </is>
      </c>
      <c r="T379" s="15" t="inlineStr">
        <is>
          <t>Chưa xác minh</t>
        </is>
      </c>
      <c r="U379" s="15" t="inlineStr">
        <is>
          <t>Chưa xác minh</t>
        </is>
      </c>
      <c r="V379" s="15" t="inlineStr">
        <is>
          <t>Chưa xác minh</t>
        </is>
      </c>
      <c r="W379" s="15" t="n"/>
      <c r="X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inlineStr">
        <is>
          <t>DRAFT — CHƯA DUYỆT</t>
        </is>
      </c>
      <c r="T380" s="15" t="inlineStr">
        <is>
          <t>Chưa xác minh</t>
        </is>
      </c>
      <c r="U380" s="15" t="inlineStr">
        <is>
          <t>Chưa xác minh</t>
        </is>
      </c>
      <c r="V380" s="15" t="inlineStr">
        <is>
          <t>Chưa xác minh</t>
        </is>
      </c>
      <c r="W380" s="15" t="n"/>
      <c r="X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inlineStr">
        <is>
          <t>DRAFT — CHƯA DUYỆT</t>
        </is>
      </c>
      <c r="T381" s="15" t="inlineStr">
        <is>
          <t>Chưa xác minh</t>
        </is>
      </c>
      <c r="U381" s="15" t="inlineStr">
        <is>
          <t>Chưa xác minh</t>
        </is>
      </c>
      <c r="V381" s="15" t="inlineStr">
        <is>
          <t>Chưa xác minh</t>
        </is>
      </c>
      <c r="W381" s="15" t="n"/>
      <c r="X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inlineStr">
        <is>
          <t>DRAFT — CHƯA DUYỆT</t>
        </is>
      </c>
      <c r="T382" s="15" t="inlineStr">
        <is>
          <t>Chưa xác minh</t>
        </is>
      </c>
      <c r="U382" s="15" t="inlineStr">
        <is>
          <t>Chưa xác minh</t>
        </is>
      </c>
      <c r="V382" s="15" t="inlineStr">
        <is>
          <t>Chưa xác minh</t>
        </is>
      </c>
      <c r="W382" s="15" t="n"/>
      <c r="X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inlineStr">
        <is>
          <t>DRAFT — CHƯA DUYỆT</t>
        </is>
      </c>
      <c r="T383" s="15" t="inlineStr">
        <is>
          <t>Chưa xác minh</t>
        </is>
      </c>
      <c r="U383" s="15" t="inlineStr">
        <is>
          <t>Chưa xác minh</t>
        </is>
      </c>
      <c r="V383" s="15" t="inlineStr">
        <is>
          <t>Chưa xác minh</t>
        </is>
      </c>
      <c r="W383" s="15" t="n"/>
      <c r="X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inlineStr">
        <is>
          <t>DRAFT — CHƯA DUYỆT</t>
        </is>
      </c>
      <c r="T384" s="15" t="inlineStr">
        <is>
          <t>Chưa xác minh</t>
        </is>
      </c>
      <c r="U384" s="15" t="inlineStr">
        <is>
          <t>Chưa xác minh</t>
        </is>
      </c>
      <c r="V384" s="15" t="inlineStr">
        <is>
          <t>Chưa xác minh</t>
        </is>
      </c>
      <c r="W384" s="15" t="n"/>
      <c r="X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inlineStr">
        <is>
          <t>DRAFT — CHƯA DUYỆT</t>
        </is>
      </c>
      <c r="T385" s="15" t="inlineStr">
        <is>
          <t>Chưa xác minh</t>
        </is>
      </c>
      <c r="U385" s="15" t="inlineStr">
        <is>
          <t>Chưa xác minh</t>
        </is>
      </c>
      <c r="V385" s="15" t="inlineStr">
        <is>
          <t>Chưa xác minh</t>
        </is>
      </c>
      <c r="W385" s="15" t="n"/>
      <c r="X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inlineStr">
        <is>
          <t>DRAFT — CHƯA DUYỆT</t>
        </is>
      </c>
      <c r="T386" s="15" t="inlineStr">
        <is>
          <t>Chưa xác minh</t>
        </is>
      </c>
      <c r="U386" s="15" t="inlineStr">
        <is>
          <t>Chưa xác minh</t>
        </is>
      </c>
      <c r="V386" s="15" t="inlineStr">
        <is>
          <t>Chưa xác minh</t>
        </is>
      </c>
      <c r="W386" s="15" t="n"/>
      <c r="X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inlineStr">
        <is>
          <t>DRAFT — CHƯA DUYỆT</t>
        </is>
      </c>
      <c r="T387" s="15" t="inlineStr">
        <is>
          <t>Chưa xác minh</t>
        </is>
      </c>
      <c r="U387" s="15" t="inlineStr">
        <is>
          <t>Chưa xác minh</t>
        </is>
      </c>
      <c r="V387" s="15" t="inlineStr">
        <is>
          <t>Chưa xác minh</t>
        </is>
      </c>
      <c r="W387" s="15" t="n"/>
      <c r="X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inlineStr">
        <is>
          <t>DRAFT — CHƯA DUYỆT</t>
        </is>
      </c>
      <c r="T388" s="15" t="inlineStr">
        <is>
          <t>Chưa xác minh</t>
        </is>
      </c>
      <c r="U388" s="15" t="inlineStr">
        <is>
          <t>Chưa xác minh</t>
        </is>
      </c>
      <c r="V388" s="15" t="inlineStr">
        <is>
          <t>Chưa xác minh</t>
        </is>
      </c>
      <c r="W388" s="15" t="n"/>
      <c r="X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inlineStr">
        <is>
          <t>DRAFT — CHƯA DUYỆT</t>
        </is>
      </c>
      <c r="T389" s="15" t="inlineStr">
        <is>
          <t>Chưa xác minh</t>
        </is>
      </c>
      <c r="U389" s="15" t="inlineStr">
        <is>
          <t>Chưa xác minh</t>
        </is>
      </c>
      <c r="V389" s="15" t="inlineStr">
        <is>
          <t>Chưa xác minh</t>
        </is>
      </c>
      <c r="W389" s="15" t="n"/>
      <c r="X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inlineStr">
        <is>
          <t>DRAFT — CHƯA DUYỆT</t>
        </is>
      </c>
      <c r="T390" s="15" t="inlineStr">
        <is>
          <t>Chưa xác minh</t>
        </is>
      </c>
      <c r="U390" s="15" t="inlineStr">
        <is>
          <t>Chưa xác minh</t>
        </is>
      </c>
      <c r="V390" s="15" t="inlineStr">
        <is>
          <t>Chưa xác minh</t>
        </is>
      </c>
      <c r="W390" s="15" t="n"/>
      <c r="X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inlineStr">
        <is>
          <t>DRAFT — CHƯA DUYỆT</t>
        </is>
      </c>
      <c r="T391" s="15" t="inlineStr">
        <is>
          <t>Chưa xác minh</t>
        </is>
      </c>
      <c r="U391" s="15" t="inlineStr">
        <is>
          <t>Chưa xác minh</t>
        </is>
      </c>
      <c r="V391" s="15" t="inlineStr">
        <is>
          <t>Chưa xác minh</t>
        </is>
      </c>
      <c r="W391" s="15" t="n"/>
      <c r="X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inlineStr">
        <is>
          <t>DRAFT — CHƯA DUYỆT</t>
        </is>
      </c>
      <c r="T392" s="15" t="inlineStr">
        <is>
          <t>Chưa xác minh</t>
        </is>
      </c>
      <c r="U392" s="15" t="inlineStr">
        <is>
          <t>Chưa xác minh</t>
        </is>
      </c>
      <c r="V392" s="15" t="inlineStr">
        <is>
          <t>Chưa xác minh</t>
        </is>
      </c>
      <c r="W392" s="15" t="n"/>
      <c r="X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inlineStr">
        <is>
          <t>DRAFT — CHƯA DUYỆT</t>
        </is>
      </c>
      <c r="T393" s="15" t="inlineStr">
        <is>
          <t>Chưa xác minh</t>
        </is>
      </c>
      <c r="U393" s="15" t="inlineStr">
        <is>
          <t>Chưa xác minh</t>
        </is>
      </c>
      <c r="V393" s="15" t="inlineStr">
        <is>
          <t>Chưa xác minh</t>
        </is>
      </c>
      <c r="W393" s="15" t="n"/>
      <c r="X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inlineStr">
        <is>
          <t>DRAFT — CHƯA DUYỆT</t>
        </is>
      </c>
      <c r="T394" s="15" t="inlineStr">
        <is>
          <t>Chưa xác minh</t>
        </is>
      </c>
      <c r="U394" s="15" t="inlineStr">
        <is>
          <t>Chưa xác minh</t>
        </is>
      </c>
      <c r="V394" s="15" t="inlineStr">
        <is>
          <t>Chưa xác minh</t>
        </is>
      </c>
      <c r="W394" s="15" t="n"/>
      <c r="X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inlineStr">
        <is>
          <t>DRAFT — CHƯA DUYỆT</t>
        </is>
      </c>
      <c r="T395" s="15" t="inlineStr">
        <is>
          <t>Chưa xác minh</t>
        </is>
      </c>
      <c r="U395" s="15" t="inlineStr">
        <is>
          <t>Chưa xác minh</t>
        </is>
      </c>
      <c r="V395" s="15" t="inlineStr">
        <is>
          <t>Chưa xác minh</t>
        </is>
      </c>
      <c r="W395" s="15" t="n"/>
      <c r="X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inlineStr">
        <is>
          <t>DRAFT — CHƯA DUYỆT</t>
        </is>
      </c>
      <c r="T396" s="15" t="inlineStr">
        <is>
          <t>Chưa xác minh</t>
        </is>
      </c>
      <c r="U396" s="15" t="inlineStr">
        <is>
          <t>Chưa xác minh</t>
        </is>
      </c>
      <c r="V396" s="15" t="inlineStr">
        <is>
          <t>Chưa xác minh</t>
        </is>
      </c>
      <c r="W396" s="15" t="n"/>
      <c r="X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inlineStr">
        <is>
          <t>DRAFT — CHƯA DUYỆT</t>
        </is>
      </c>
      <c r="T397" s="15" t="inlineStr">
        <is>
          <t>Chưa xác minh</t>
        </is>
      </c>
      <c r="U397" s="15" t="inlineStr">
        <is>
          <t>Chưa xác minh</t>
        </is>
      </c>
      <c r="V397" s="15" t="inlineStr">
        <is>
          <t>Chưa xác minh</t>
        </is>
      </c>
      <c r="W397" s="15" t="n"/>
      <c r="X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inlineStr">
        <is>
          <t>DRAFT — CHƯA DUYỆT</t>
        </is>
      </c>
      <c r="T398" s="15" t="inlineStr">
        <is>
          <t>Chưa xác minh</t>
        </is>
      </c>
      <c r="U398" s="15" t="inlineStr">
        <is>
          <t>Chưa xác minh</t>
        </is>
      </c>
      <c r="V398" s="15" t="inlineStr">
        <is>
          <t>Chưa xác minh</t>
        </is>
      </c>
      <c r="W398" s="15" t="n"/>
      <c r="X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inlineStr">
        <is>
          <t>DRAFT — CHƯA DUYỆT</t>
        </is>
      </c>
      <c r="T399" s="15" t="inlineStr">
        <is>
          <t>Chưa xác minh</t>
        </is>
      </c>
      <c r="U399" s="15" t="inlineStr">
        <is>
          <t>Chưa xác minh</t>
        </is>
      </c>
      <c r="V399" s="15" t="inlineStr">
        <is>
          <t>Chưa xác minh</t>
        </is>
      </c>
      <c r="W399" s="15" t="n"/>
      <c r="X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inlineStr">
        <is>
          <t>DRAFT — CHƯA DUYỆT</t>
        </is>
      </c>
      <c r="T400" s="15" t="inlineStr">
        <is>
          <t>Chưa xác minh</t>
        </is>
      </c>
      <c r="U400" s="15" t="inlineStr">
        <is>
          <t>Chưa xác minh</t>
        </is>
      </c>
      <c r="V400" s="15" t="inlineStr">
        <is>
          <t>Chưa xác minh</t>
        </is>
      </c>
      <c r="W400" s="15" t="n"/>
      <c r="X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inlineStr">
        <is>
          <t>DRAFT — CHƯA DUYỆT</t>
        </is>
      </c>
      <c r="T401" s="15" t="inlineStr">
        <is>
          <t>Chưa xác minh</t>
        </is>
      </c>
      <c r="U401" s="15" t="inlineStr">
        <is>
          <t>Chưa xác minh</t>
        </is>
      </c>
      <c r="V401" s="15" t="inlineStr">
        <is>
          <t>Chưa xác minh</t>
        </is>
      </c>
      <c r="W401" s="15" t="n"/>
      <c r="X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inlineStr">
        <is>
          <t>DRAFT — CHƯA DUYỆT</t>
        </is>
      </c>
      <c r="T402" s="15" t="inlineStr">
        <is>
          <t>Chưa xác minh</t>
        </is>
      </c>
      <c r="U402" s="15" t="inlineStr">
        <is>
          <t>Chưa xác minh</t>
        </is>
      </c>
      <c r="V402" s="15" t="inlineStr">
        <is>
          <t>Chưa xác minh</t>
        </is>
      </c>
      <c r="W402" s="15" t="n"/>
      <c r="X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inlineStr">
        <is>
          <t>DRAFT — CHƯA DUYỆT</t>
        </is>
      </c>
      <c r="T403" s="15" t="inlineStr">
        <is>
          <t>Chưa xác minh</t>
        </is>
      </c>
      <c r="U403" s="15" t="inlineStr">
        <is>
          <t>Chưa xác minh</t>
        </is>
      </c>
      <c r="V403" s="15" t="inlineStr">
        <is>
          <t>Chưa xác minh</t>
        </is>
      </c>
      <c r="W403" s="15" t="n"/>
      <c r="X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inlineStr">
        <is>
          <t>DRAFT — CHƯA DUYỆT</t>
        </is>
      </c>
      <c r="T404" s="15" t="inlineStr">
        <is>
          <t>Chưa xác minh</t>
        </is>
      </c>
      <c r="U404" s="15" t="inlineStr">
        <is>
          <t>Chưa xác minh</t>
        </is>
      </c>
      <c r="V404" s="15" t="inlineStr">
        <is>
          <t>Chưa xác minh</t>
        </is>
      </c>
      <c r="W404" s="15" t="n"/>
      <c r="X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inlineStr">
        <is>
          <t>DRAFT — CHƯA DUYỆT</t>
        </is>
      </c>
      <c r="T405" s="15" t="inlineStr">
        <is>
          <t>Chưa xác minh</t>
        </is>
      </c>
      <c r="U405" s="15" t="inlineStr">
        <is>
          <t>Chưa xác minh</t>
        </is>
      </c>
      <c r="V405" s="15" t="inlineStr">
        <is>
          <t>Chưa xác minh</t>
        </is>
      </c>
      <c r="W405" s="15" t="n"/>
      <c r="X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inlineStr">
        <is>
          <t>DRAFT — CHƯA DUYỆT</t>
        </is>
      </c>
      <c r="T406" s="15" t="inlineStr">
        <is>
          <t>Chưa xác minh</t>
        </is>
      </c>
      <c r="U406" s="15" t="inlineStr">
        <is>
          <t>Chưa xác minh</t>
        </is>
      </c>
      <c r="V406" s="15" t="inlineStr">
        <is>
          <t>Chưa xác minh</t>
        </is>
      </c>
      <c r="W406" s="15" t="n"/>
      <c r="X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inlineStr">
        <is>
          <t>DRAFT — CHƯA DUYỆT</t>
        </is>
      </c>
      <c r="T407" s="15" t="inlineStr">
        <is>
          <t>Chưa xác minh</t>
        </is>
      </c>
      <c r="U407" s="15" t="inlineStr">
        <is>
          <t>Chưa xác minh</t>
        </is>
      </c>
      <c r="V407" s="15" t="inlineStr">
        <is>
          <t>Chưa xác minh</t>
        </is>
      </c>
      <c r="W407" s="15" t="n"/>
      <c r="X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inlineStr">
        <is>
          <t>DRAFT — CHƯA DUYỆT</t>
        </is>
      </c>
      <c r="T408" s="15" t="inlineStr">
        <is>
          <t>Chưa xác minh</t>
        </is>
      </c>
      <c r="U408" s="15" t="inlineStr">
        <is>
          <t>Chưa xác minh</t>
        </is>
      </c>
      <c r="V408" s="15" t="inlineStr">
        <is>
          <t>Chưa xác minh</t>
        </is>
      </c>
      <c r="W408" s="15" t="n"/>
      <c r="X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inlineStr">
        <is>
          <t>DRAFT — CHƯA DUYỆT</t>
        </is>
      </c>
      <c r="T409" s="15" t="inlineStr">
        <is>
          <t>Chưa xác minh</t>
        </is>
      </c>
      <c r="U409" s="15" t="inlineStr">
        <is>
          <t>Chưa xác minh</t>
        </is>
      </c>
      <c r="V409" s="15" t="inlineStr">
        <is>
          <t>Chưa xác minh</t>
        </is>
      </c>
      <c r="W409" s="15" t="n"/>
      <c r="X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inlineStr">
        <is>
          <t>DRAFT — CHƯA DUYỆT</t>
        </is>
      </c>
      <c r="T410" s="15" t="inlineStr">
        <is>
          <t>Chưa xác minh</t>
        </is>
      </c>
      <c r="U410" s="15" t="inlineStr">
        <is>
          <t>Chưa xác minh</t>
        </is>
      </c>
      <c r="V410" s="15" t="inlineStr">
        <is>
          <t>Chưa xác minh</t>
        </is>
      </c>
      <c r="W410" s="15" t="n"/>
      <c r="X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inlineStr">
        <is>
          <t>DRAFT — CHƯA DUYỆT</t>
        </is>
      </c>
      <c r="T411" s="15" t="inlineStr">
        <is>
          <t>Chưa xác minh</t>
        </is>
      </c>
      <c r="U411" s="15" t="inlineStr">
        <is>
          <t>Chưa xác minh</t>
        </is>
      </c>
      <c r="V411" s="15" t="inlineStr">
        <is>
          <t>Chưa xác minh</t>
        </is>
      </c>
      <c r="W411" s="15" t="n"/>
      <c r="X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inlineStr">
        <is>
          <t>DRAFT — CHƯA DUYỆT</t>
        </is>
      </c>
      <c r="T412" s="15" t="inlineStr">
        <is>
          <t>Chưa xác minh</t>
        </is>
      </c>
      <c r="U412" s="15" t="inlineStr">
        <is>
          <t>Chưa xác minh</t>
        </is>
      </c>
      <c r="V412" s="15" t="inlineStr">
        <is>
          <t>Chưa xác minh</t>
        </is>
      </c>
      <c r="W412" s="15" t="n"/>
      <c r="X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inlineStr">
        <is>
          <t>DRAFT — CHƯA DUYỆT</t>
        </is>
      </c>
      <c r="T413" s="15" t="inlineStr">
        <is>
          <t>Chưa xác minh</t>
        </is>
      </c>
      <c r="U413" s="15" t="inlineStr">
        <is>
          <t>Chưa xác minh</t>
        </is>
      </c>
      <c r="V413" s="15" t="inlineStr">
        <is>
          <t>Chưa xác minh</t>
        </is>
      </c>
      <c r="W413" s="15" t="n"/>
      <c r="X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inlineStr">
        <is>
          <t>DRAFT — CHƯA DUYỆT</t>
        </is>
      </c>
      <c r="T414" s="15" t="inlineStr">
        <is>
          <t>Chưa xác minh</t>
        </is>
      </c>
      <c r="U414" s="15" t="inlineStr">
        <is>
          <t>Chưa xác minh</t>
        </is>
      </c>
      <c r="V414" s="15" t="inlineStr">
        <is>
          <t>Chưa xác minh</t>
        </is>
      </c>
      <c r="W414" s="15" t="n"/>
      <c r="X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inlineStr">
        <is>
          <t>DRAFT — CHƯA DUYỆT</t>
        </is>
      </c>
      <c r="T415" s="15" t="inlineStr">
        <is>
          <t>Chưa xác minh</t>
        </is>
      </c>
      <c r="U415" s="15" t="inlineStr">
        <is>
          <t>Chưa xác minh</t>
        </is>
      </c>
      <c r="V415" s="15" t="inlineStr">
        <is>
          <t>Chưa xác minh</t>
        </is>
      </c>
      <c r="W415" s="15" t="n"/>
      <c r="X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inlineStr">
        <is>
          <t>DRAFT — CHƯA DUYỆT</t>
        </is>
      </c>
      <c r="T416" s="15" t="inlineStr">
        <is>
          <t>Chưa xác minh</t>
        </is>
      </c>
      <c r="U416" s="15" t="inlineStr">
        <is>
          <t>Chưa xác minh</t>
        </is>
      </c>
      <c r="V416" s="15" t="inlineStr">
        <is>
          <t>Chưa xác minh</t>
        </is>
      </c>
      <c r="W416" s="15" t="n"/>
      <c r="X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inlineStr">
        <is>
          <t>DRAFT — CHƯA DUYỆT</t>
        </is>
      </c>
      <c r="T417" s="15" t="inlineStr">
        <is>
          <t>Chưa xác minh</t>
        </is>
      </c>
      <c r="U417" s="15" t="inlineStr">
        <is>
          <t>Chưa xác minh</t>
        </is>
      </c>
      <c r="V417" s="15" t="inlineStr">
        <is>
          <t>Chưa xác minh</t>
        </is>
      </c>
      <c r="W417" s="15" t="n"/>
      <c r="X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inlineStr">
        <is>
          <t>DRAFT — CHƯA DUYỆT</t>
        </is>
      </c>
      <c r="T418" s="15" t="inlineStr">
        <is>
          <t>Chưa xác minh</t>
        </is>
      </c>
      <c r="U418" s="15" t="inlineStr">
        <is>
          <t>Chưa xác minh</t>
        </is>
      </c>
      <c r="V418" s="15" t="inlineStr">
        <is>
          <t>Chưa xác minh</t>
        </is>
      </c>
      <c r="W418" s="15" t="n"/>
      <c r="X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inlineStr">
        <is>
          <t>DRAFT — CHƯA DUYỆT</t>
        </is>
      </c>
      <c r="T419" s="15" t="inlineStr">
        <is>
          <t>Chưa xác minh</t>
        </is>
      </c>
      <c r="U419" s="15" t="inlineStr">
        <is>
          <t>Chưa xác minh</t>
        </is>
      </c>
      <c r="V419" s="15" t="inlineStr">
        <is>
          <t>Chưa xác minh</t>
        </is>
      </c>
      <c r="W419" s="15" t="n"/>
      <c r="X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inlineStr">
        <is>
          <t>DRAFT — CHƯA DUYỆT</t>
        </is>
      </c>
      <c r="T420" s="15" t="inlineStr">
        <is>
          <t>Chưa xác minh</t>
        </is>
      </c>
      <c r="U420" s="15" t="inlineStr">
        <is>
          <t>Chưa xác minh</t>
        </is>
      </c>
      <c r="V420" s="15" t="inlineStr">
        <is>
          <t>Chưa xác minh</t>
        </is>
      </c>
      <c r="W420" s="15" t="n"/>
      <c r="X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inlineStr">
        <is>
          <t>DRAFT — CHƯA DUYỆT</t>
        </is>
      </c>
      <c r="T421" s="15" t="inlineStr">
        <is>
          <t>Chưa xác minh</t>
        </is>
      </c>
      <c r="U421" s="15" t="inlineStr">
        <is>
          <t>Chưa xác minh</t>
        </is>
      </c>
      <c r="V421" s="15" t="inlineStr">
        <is>
          <t>Chưa xác minh</t>
        </is>
      </c>
      <c r="W421" s="15" t="n"/>
      <c r="X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inlineStr">
        <is>
          <t>DRAFT — CHƯA DUYỆT</t>
        </is>
      </c>
      <c r="T422" s="15" t="inlineStr">
        <is>
          <t>Chưa xác minh</t>
        </is>
      </c>
      <c r="U422" s="15" t="inlineStr">
        <is>
          <t>Chưa xác minh</t>
        </is>
      </c>
      <c r="V422" s="15" t="inlineStr">
        <is>
          <t>Chưa xác minh</t>
        </is>
      </c>
      <c r="W422" s="15" t="n"/>
      <c r="X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inlineStr">
        <is>
          <t>DRAFT — CHƯA DUYỆT</t>
        </is>
      </c>
      <c r="T423" s="15" t="inlineStr">
        <is>
          <t>Chưa xác minh</t>
        </is>
      </c>
      <c r="U423" s="15" t="inlineStr">
        <is>
          <t>Chưa xác minh</t>
        </is>
      </c>
      <c r="V423" s="15" t="inlineStr">
        <is>
          <t>Chưa xác minh</t>
        </is>
      </c>
      <c r="W423" s="15" t="n"/>
      <c r="X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inlineStr">
        <is>
          <t>DRAFT — CHƯA DUYỆT</t>
        </is>
      </c>
      <c r="T424" s="15" t="inlineStr">
        <is>
          <t>Chưa xác minh</t>
        </is>
      </c>
      <c r="U424" s="15" t="inlineStr">
        <is>
          <t>Chưa xác minh</t>
        </is>
      </c>
      <c r="V424" s="15" t="inlineStr">
        <is>
          <t>Chưa xác minh</t>
        </is>
      </c>
      <c r="W424" s="15" t="n"/>
      <c r="X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inlineStr">
        <is>
          <t>DRAFT — CHƯA DUYỆT</t>
        </is>
      </c>
      <c r="T425" s="15" t="inlineStr">
        <is>
          <t>Chưa xác minh</t>
        </is>
      </c>
      <c r="U425" s="15" t="inlineStr">
        <is>
          <t>Chưa xác minh</t>
        </is>
      </c>
      <c r="V425" s="15" t="inlineStr">
        <is>
          <t>Chưa xác minh</t>
        </is>
      </c>
      <c r="W425" s="15" t="n"/>
      <c r="X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inlineStr">
        <is>
          <t>DRAFT — CHƯA DUYỆT</t>
        </is>
      </c>
      <c r="T426" s="15" t="inlineStr">
        <is>
          <t>Chưa xác minh</t>
        </is>
      </c>
      <c r="U426" s="15" t="inlineStr">
        <is>
          <t>Chưa xác minh</t>
        </is>
      </c>
      <c r="V426" s="15" t="inlineStr">
        <is>
          <t>Chưa xác minh</t>
        </is>
      </c>
      <c r="W426" s="15" t="n"/>
      <c r="X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inlineStr">
        <is>
          <t>DRAFT — CHƯA DUYỆT</t>
        </is>
      </c>
      <c r="T427" s="15" t="inlineStr">
        <is>
          <t>Chưa xác minh</t>
        </is>
      </c>
      <c r="U427" s="15" t="inlineStr">
        <is>
          <t>Chưa xác minh</t>
        </is>
      </c>
      <c r="V427" s="15" t="inlineStr">
        <is>
          <t>Chưa xác minh</t>
        </is>
      </c>
      <c r="W427" s="15" t="n"/>
      <c r="X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inlineStr">
        <is>
          <t>DRAFT — CHƯA DUYỆT</t>
        </is>
      </c>
      <c r="T428" s="15" t="inlineStr">
        <is>
          <t>Chưa xác minh</t>
        </is>
      </c>
      <c r="U428" s="15" t="inlineStr">
        <is>
          <t>Chưa xác minh</t>
        </is>
      </c>
      <c r="V428" s="15" t="inlineStr">
        <is>
          <t>Chưa xác minh</t>
        </is>
      </c>
      <c r="W428" s="15" t="n"/>
      <c r="X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inlineStr">
        <is>
          <t>DRAFT — CHƯA DUYỆT</t>
        </is>
      </c>
      <c r="T429" s="15" t="inlineStr">
        <is>
          <t>Chưa xác minh</t>
        </is>
      </c>
      <c r="U429" s="15" t="inlineStr">
        <is>
          <t>Chưa xác minh</t>
        </is>
      </c>
      <c r="V429" s="15" t="inlineStr">
        <is>
          <t>Chưa xác minh</t>
        </is>
      </c>
      <c r="W429" s="15" t="n"/>
      <c r="X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inlineStr">
        <is>
          <t>DRAFT — CHƯA DUYỆT</t>
        </is>
      </c>
      <c r="T430" s="15" t="inlineStr">
        <is>
          <t>Chưa xác minh</t>
        </is>
      </c>
      <c r="U430" s="15" t="inlineStr">
        <is>
          <t>Chưa xác minh</t>
        </is>
      </c>
      <c r="V430" s="15" t="inlineStr">
        <is>
          <t>Chưa xác minh</t>
        </is>
      </c>
      <c r="W430" s="15" t="n"/>
      <c r="X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inlineStr">
        <is>
          <t>DRAFT — CHƯA DUYỆT</t>
        </is>
      </c>
      <c r="T431" s="15" t="inlineStr">
        <is>
          <t>Chưa xác minh</t>
        </is>
      </c>
      <c r="U431" s="15" t="inlineStr">
        <is>
          <t>Chưa xác minh</t>
        </is>
      </c>
      <c r="V431" s="15" t="inlineStr">
        <is>
          <t>Chưa xác minh</t>
        </is>
      </c>
      <c r="W431" s="15" t="n"/>
      <c r="X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inlineStr">
        <is>
          <t>DRAFT — CHƯA DUYỆT</t>
        </is>
      </c>
      <c r="T432" s="15" t="inlineStr">
        <is>
          <t>Chưa xác minh</t>
        </is>
      </c>
      <c r="U432" s="15" t="inlineStr">
        <is>
          <t>Chưa xác minh</t>
        </is>
      </c>
      <c r="V432" s="15" t="inlineStr">
        <is>
          <t>Chưa xác minh</t>
        </is>
      </c>
      <c r="W432" s="15" t="n"/>
      <c r="X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inlineStr">
        <is>
          <t>DRAFT — CHƯA DUYỆT</t>
        </is>
      </c>
      <c r="T433" s="15" t="inlineStr">
        <is>
          <t>Chưa xác minh</t>
        </is>
      </c>
      <c r="U433" s="15" t="inlineStr">
        <is>
          <t>Chưa xác minh</t>
        </is>
      </c>
      <c r="V433" s="15" t="inlineStr">
        <is>
          <t>Chưa xác minh</t>
        </is>
      </c>
      <c r="W433" s="15" t="n"/>
      <c r="X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inlineStr">
        <is>
          <t>DRAFT — CHƯA DUYỆT</t>
        </is>
      </c>
      <c r="T434" s="15" t="inlineStr">
        <is>
          <t>Chưa xác minh</t>
        </is>
      </c>
      <c r="U434" s="15" t="inlineStr">
        <is>
          <t>Chưa xác minh</t>
        </is>
      </c>
      <c r="V434" s="15" t="inlineStr">
        <is>
          <t>Chưa xác minh</t>
        </is>
      </c>
      <c r="W434" s="15" t="n"/>
      <c r="X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inlineStr">
        <is>
          <t>DRAFT — CHƯA DUYỆT</t>
        </is>
      </c>
      <c r="T435" s="15" t="inlineStr">
        <is>
          <t>Chưa xác minh</t>
        </is>
      </c>
      <c r="U435" s="15" t="inlineStr">
        <is>
          <t>Chưa xác minh</t>
        </is>
      </c>
      <c r="V435" s="15" t="inlineStr">
        <is>
          <t>Chưa xác minh</t>
        </is>
      </c>
      <c r="W435" s="15" t="n"/>
      <c r="X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inlineStr">
        <is>
          <t>DRAFT — CHƯA DUYỆT</t>
        </is>
      </c>
      <c r="T436" s="15" t="inlineStr">
        <is>
          <t>Chưa xác minh</t>
        </is>
      </c>
      <c r="U436" s="15" t="inlineStr">
        <is>
          <t>Chưa xác minh</t>
        </is>
      </c>
      <c r="V436" s="15" t="inlineStr">
        <is>
          <t>Chưa xác minh</t>
        </is>
      </c>
      <c r="W436" s="15" t="n"/>
      <c r="X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inlineStr">
        <is>
          <t>DRAFT — CHƯA DUYỆT</t>
        </is>
      </c>
      <c r="T437" s="15" t="inlineStr">
        <is>
          <t>Chưa xác minh</t>
        </is>
      </c>
      <c r="U437" s="15" t="inlineStr">
        <is>
          <t>Chưa xác minh</t>
        </is>
      </c>
      <c r="V437" s="15" t="inlineStr">
        <is>
          <t>Chưa xác minh</t>
        </is>
      </c>
      <c r="W437" s="15" t="n"/>
      <c r="X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inlineStr">
        <is>
          <t>DRAFT — CHƯA DUYỆT</t>
        </is>
      </c>
      <c r="T438" s="15" t="inlineStr">
        <is>
          <t>Chưa xác minh</t>
        </is>
      </c>
      <c r="U438" s="15" t="inlineStr">
        <is>
          <t>Chưa xác minh</t>
        </is>
      </c>
      <c r="V438" s="15" t="inlineStr">
        <is>
          <t>Chưa xác minh</t>
        </is>
      </c>
      <c r="W438" s="15" t="n"/>
      <c r="X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inlineStr">
        <is>
          <t>DRAFT — CHƯA DUYỆT</t>
        </is>
      </c>
      <c r="T439" s="15" t="inlineStr">
        <is>
          <t>Chưa xác minh</t>
        </is>
      </c>
      <c r="U439" s="15" t="inlineStr">
        <is>
          <t>Chưa xác minh</t>
        </is>
      </c>
      <c r="V439" s="15" t="inlineStr">
        <is>
          <t>Chưa xác minh</t>
        </is>
      </c>
      <c r="W439" s="15" t="n"/>
      <c r="X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inlineStr">
        <is>
          <t>DRAFT — CHƯA DUYỆT</t>
        </is>
      </c>
      <c r="T440" s="15" t="inlineStr">
        <is>
          <t>Chưa xác minh</t>
        </is>
      </c>
      <c r="U440" s="15" t="inlineStr">
        <is>
          <t>Chưa xác minh</t>
        </is>
      </c>
      <c r="V440" s="15" t="inlineStr">
        <is>
          <t>Chưa xác minh</t>
        </is>
      </c>
      <c r="W440" s="15" t="n"/>
      <c r="X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inlineStr">
        <is>
          <t>DRAFT — CHƯA DUYỆT</t>
        </is>
      </c>
      <c r="T441" s="15" t="inlineStr">
        <is>
          <t>Chưa xác minh</t>
        </is>
      </c>
      <c r="U441" s="15" t="inlineStr">
        <is>
          <t>Chưa xác minh</t>
        </is>
      </c>
      <c r="V441" s="15" t="inlineStr">
        <is>
          <t>Chưa xác minh</t>
        </is>
      </c>
      <c r="W441" s="15" t="n"/>
      <c r="X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inlineStr">
        <is>
          <t>DRAFT — CHƯA DUYỆT</t>
        </is>
      </c>
      <c r="T442" s="15" t="inlineStr">
        <is>
          <t>Chưa xác minh</t>
        </is>
      </c>
      <c r="U442" s="15" t="inlineStr">
        <is>
          <t>Chưa xác minh</t>
        </is>
      </c>
      <c r="V442" s="15" t="inlineStr">
        <is>
          <t>Chưa xác minh</t>
        </is>
      </c>
      <c r="W442" s="15" t="n"/>
      <c r="X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inlineStr">
        <is>
          <t>DRAFT — CHƯA DUYỆT</t>
        </is>
      </c>
      <c r="T443" s="15" t="inlineStr">
        <is>
          <t>Chưa xác minh</t>
        </is>
      </c>
      <c r="U443" s="15" t="inlineStr">
        <is>
          <t>Chưa xác minh</t>
        </is>
      </c>
      <c r="V443" s="15" t="inlineStr">
        <is>
          <t>Chưa xác minh</t>
        </is>
      </c>
      <c r="W443" s="15" t="n"/>
      <c r="X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inlineStr">
        <is>
          <t>DRAFT — CHƯA DUYỆT</t>
        </is>
      </c>
      <c r="T444" s="15" t="inlineStr">
        <is>
          <t>Chưa xác minh</t>
        </is>
      </c>
      <c r="U444" s="15" t="inlineStr">
        <is>
          <t>Chưa xác minh</t>
        </is>
      </c>
      <c r="V444" s="15" t="inlineStr">
        <is>
          <t>Chưa xác minh</t>
        </is>
      </c>
      <c r="W444" s="15" t="n"/>
      <c r="X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inlineStr">
        <is>
          <t>DRAFT — CHƯA DUYỆT</t>
        </is>
      </c>
      <c r="T445" s="15" t="inlineStr">
        <is>
          <t>Chưa xác minh</t>
        </is>
      </c>
      <c r="U445" s="15" t="inlineStr">
        <is>
          <t>Chưa xác minh</t>
        </is>
      </c>
      <c r="V445" s="15" t="inlineStr">
        <is>
          <t>Chưa xác minh</t>
        </is>
      </c>
      <c r="W445" s="15" t="n"/>
      <c r="X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inlineStr">
        <is>
          <t>DRAFT — CHƯA DUYỆT</t>
        </is>
      </c>
      <c r="T446" s="15" t="inlineStr">
        <is>
          <t>Chưa xác minh</t>
        </is>
      </c>
      <c r="U446" s="15" t="inlineStr">
        <is>
          <t>Chưa xác minh</t>
        </is>
      </c>
      <c r="V446" s="15" t="inlineStr">
        <is>
          <t>Chưa xác minh</t>
        </is>
      </c>
      <c r="W446" s="15" t="n"/>
      <c r="X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inlineStr">
        <is>
          <t>DRAFT — CHƯA DUYỆT</t>
        </is>
      </c>
      <c r="T447" s="15" t="inlineStr">
        <is>
          <t>Chưa xác minh</t>
        </is>
      </c>
      <c r="U447" s="15" t="inlineStr">
        <is>
          <t>Chưa xác minh</t>
        </is>
      </c>
      <c r="V447" s="15" t="inlineStr">
        <is>
          <t>Chưa xác minh</t>
        </is>
      </c>
      <c r="W447" s="15" t="n"/>
      <c r="X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inlineStr">
        <is>
          <t>DRAFT — CHƯA DUYỆT</t>
        </is>
      </c>
      <c r="T448" s="15" t="inlineStr">
        <is>
          <t>Chưa xác minh</t>
        </is>
      </c>
      <c r="U448" s="15" t="inlineStr">
        <is>
          <t>Chưa xác minh</t>
        </is>
      </c>
      <c r="V448" s="15" t="inlineStr">
        <is>
          <t>Chưa xác minh</t>
        </is>
      </c>
      <c r="W448" s="15" t="n"/>
      <c r="X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inlineStr">
        <is>
          <t>DRAFT — CHƯA DUYỆT</t>
        </is>
      </c>
      <c r="T449" s="15" t="inlineStr">
        <is>
          <t>Chưa xác minh</t>
        </is>
      </c>
      <c r="U449" s="15" t="inlineStr">
        <is>
          <t>Chưa xác minh</t>
        </is>
      </c>
      <c r="V449" s="15" t="inlineStr">
        <is>
          <t>Chưa xác minh</t>
        </is>
      </c>
      <c r="W449" s="15" t="n"/>
      <c r="X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inlineStr">
        <is>
          <t>DRAFT — CHƯA DUYỆT</t>
        </is>
      </c>
      <c r="T450" s="15" t="inlineStr">
        <is>
          <t>Chưa xác minh</t>
        </is>
      </c>
      <c r="U450" s="15" t="inlineStr">
        <is>
          <t>Chưa xác minh</t>
        </is>
      </c>
      <c r="V450" s="15" t="inlineStr">
        <is>
          <t>Chưa xác minh</t>
        </is>
      </c>
      <c r="W450" s="15" t="n"/>
      <c r="X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inlineStr">
        <is>
          <t>DRAFT — CHƯA DUYỆT</t>
        </is>
      </c>
      <c r="T451" s="15" t="inlineStr">
        <is>
          <t>Chưa xác minh</t>
        </is>
      </c>
      <c r="U451" s="15" t="inlineStr">
        <is>
          <t>Chưa xác minh</t>
        </is>
      </c>
      <c r="V451" s="15" t="inlineStr">
        <is>
          <t>Chưa xác minh</t>
        </is>
      </c>
      <c r="W451" s="15" t="n"/>
      <c r="X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inlineStr">
        <is>
          <t>DRAFT — CHƯA DUYỆT</t>
        </is>
      </c>
      <c r="T452" s="15" t="inlineStr">
        <is>
          <t>Chưa xác minh</t>
        </is>
      </c>
      <c r="U452" s="15" t="inlineStr">
        <is>
          <t>Chưa xác minh</t>
        </is>
      </c>
      <c r="V452" s="15" t="inlineStr">
        <is>
          <t>Chưa xác minh</t>
        </is>
      </c>
      <c r="W452" s="15" t="n"/>
      <c r="X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inlineStr">
        <is>
          <t>DRAFT — CHƯA DUYỆT</t>
        </is>
      </c>
      <c r="T453" s="15" t="inlineStr">
        <is>
          <t>Chưa xác minh</t>
        </is>
      </c>
      <c r="U453" s="15" t="inlineStr">
        <is>
          <t>Chưa xác minh</t>
        </is>
      </c>
      <c r="V453" s="15" t="inlineStr">
        <is>
          <t>Chưa xác minh</t>
        </is>
      </c>
      <c r="W453" s="15" t="n"/>
      <c r="X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inlineStr">
        <is>
          <t>DRAFT — CHƯA DUYỆT</t>
        </is>
      </c>
      <c r="T454" s="15" t="inlineStr">
        <is>
          <t>Chưa xác minh</t>
        </is>
      </c>
      <c r="U454" s="15" t="inlineStr">
        <is>
          <t>Chưa xác minh</t>
        </is>
      </c>
      <c r="V454" s="15" t="inlineStr">
        <is>
          <t>Chưa xác minh</t>
        </is>
      </c>
      <c r="W454" s="15" t="n"/>
      <c r="X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inlineStr">
        <is>
          <t>DRAFT — CHƯA DUYỆT</t>
        </is>
      </c>
      <c r="T455" s="15" t="inlineStr">
        <is>
          <t>Chưa xác minh</t>
        </is>
      </c>
      <c r="U455" s="15" t="inlineStr">
        <is>
          <t>Chưa xác minh</t>
        </is>
      </c>
      <c r="V455" s="15" t="inlineStr">
        <is>
          <t>Chưa xác minh</t>
        </is>
      </c>
      <c r="W455" s="15" t="n"/>
      <c r="X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inlineStr">
        <is>
          <t>DRAFT — CHƯA DUYỆT</t>
        </is>
      </c>
      <c r="T456" s="15" t="inlineStr">
        <is>
          <t>Chưa xác minh</t>
        </is>
      </c>
      <c r="U456" s="15" t="inlineStr">
        <is>
          <t>Chưa xác minh</t>
        </is>
      </c>
      <c r="V456" s="15" t="inlineStr">
        <is>
          <t>Chưa xác minh</t>
        </is>
      </c>
      <c r="W456" s="15" t="n"/>
      <c r="X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inlineStr">
        <is>
          <t>DRAFT — CHƯA DUYỆT</t>
        </is>
      </c>
      <c r="T457" s="15" t="inlineStr">
        <is>
          <t>Chưa xác minh</t>
        </is>
      </c>
      <c r="U457" s="15" t="inlineStr">
        <is>
          <t>Chưa xác minh</t>
        </is>
      </c>
      <c r="V457" s="15" t="inlineStr">
        <is>
          <t>Chưa xác minh</t>
        </is>
      </c>
      <c r="W457" s="15" t="n"/>
      <c r="X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inlineStr">
        <is>
          <t>DRAFT — CHƯA DUYỆT</t>
        </is>
      </c>
      <c r="T458" s="15" t="inlineStr">
        <is>
          <t>Chưa xác minh</t>
        </is>
      </c>
      <c r="U458" s="15" t="inlineStr">
        <is>
          <t>Chưa xác minh</t>
        </is>
      </c>
      <c r="V458" s="15" t="inlineStr">
        <is>
          <t>Chưa xác minh</t>
        </is>
      </c>
      <c r="W458" s="15" t="n"/>
      <c r="X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inlineStr">
        <is>
          <t>DRAFT — CHƯA DUYỆT</t>
        </is>
      </c>
      <c r="T459" s="15" t="inlineStr">
        <is>
          <t>Chưa xác minh</t>
        </is>
      </c>
      <c r="U459" s="15" t="inlineStr">
        <is>
          <t>Chưa xác minh</t>
        </is>
      </c>
      <c r="V459" s="15" t="inlineStr">
        <is>
          <t>Chưa xác minh</t>
        </is>
      </c>
      <c r="W459" s="15" t="n"/>
      <c r="X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inlineStr">
        <is>
          <t>DRAFT — CHƯA DUYỆT</t>
        </is>
      </c>
      <c r="T460" s="15" t="inlineStr">
        <is>
          <t>Chưa xác minh</t>
        </is>
      </c>
      <c r="U460" s="15" t="inlineStr">
        <is>
          <t>Chưa xác minh</t>
        </is>
      </c>
      <c r="V460" s="15" t="inlineStr">
        <is>
          <t>Chưa xác minh</t>
        </is>
      </c>
      <c r="W460" s="15" t="n"/>
      <c r="X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inlineStr">
        <is>
          <t>DRAFT — CHƯA DUYỆT</t>
        </is>
      </c>
      <c r="T461" s="15" t="inlineStr">
        <is>
          <t>Chưa xác minh</t>
        </is>
      </c>
      <c r="U461" s="15" t="inlineStr">
        <is>
          <t>Chưa xác minh</t>
        </is>
      </c>
      <c r="V461" s="15" t="inlineStr">
        <is>
          <t>Chưa xác minh</t>
        </is>
      </c>
      <c r="W461" s="15" t="n"/>
      <c r="X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inlineStr">
        <is>
          <t>DRAFT — CHƯA DUYỆT</t>
        </is>
      </c>
      <c r="T462" s="15" t="inlineStr">
        <is>
          <t>Chưa xác minh</t>
        </is>
      </c>
      <c r="U462" s="15" t="inlineStr">
        <is>
          <t>Chưa xác minh</t>
        </is>
      </c>
      <c r="V462" s="15" t="inlineStr">
        <is>
          <t>Chưa xác minh</t>
        </is>
      </c>
      <c r="W462" s="15" t="n"/>
      <c r="X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inlineStr">
        <is>
          <t>DRAFT — CHƯA DUYỆT</t>
        </is>
      </c>
      <c r="T463" s="15" t="inlineStr">
        <is>
          <t>Chưa xác minh</t>
        </is>
      </c>
      <c r="U463" s="15" t="inlineStr">
        <is>
          <t>Chưa xác minh</t>
        </is>
      </c>
      <c r="V463" s="15" t="inlineStr">
        <is>
          <t>Chưa xác minh</t>
        </is>
      </c>
      <c r="W463" s="15" t="n"/>
      <c r="X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inlineStr">
        <is>
          <t>DRAFT — CHƯA DUYỆT</t>
        </is>
      </c>
      <c r="T464" s="15" t="inlineStr">
        <is>
          <t>Chưa xác minh</t>
        </is>
      </c>
      <c r="U464" s="15" t="inlineStr">
        <is>
          <t>Chưa xác minh</t>
        </is>
      </c>
      <c r="V464" s="15" t="inlineStr">
        <is>
          <t>Chưa xác minh</t>
        </is>
      </c>
      <c r="W464" s="15" t="n"/>
      <c r="X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inlineStr">
        <is>
          <t>DRAFT — CHƯA DUYỆT</t>
        </is>
      </c>
      <c r="T465" s="15" t="inlineStr">
        <is>
          <t>Chưa xác minh</t>
        </is>
      </c>
      <c r="U465" s="15" t="inlineStr">
        <is>
          <t>Chưa xác minh</t>
        </is>
      </c>
      <c r="V465" s="15" t="inlineStr">
        <is>
          <t>Chưa xác minh</t>
        </is>
      </c>
      <c r="W465" s="15" t="n"/>
      <c r="X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inlineStr">
        <is>
          <t>DRAFT — CHƯA DUYỆT</t>
        </is>
      </c>
      <c r="T466" s="15" t="inlineStr">
        <is>
          <t>Chưa xác minh</t>
        </is>
      </c>
      <c r="U466" s="15" t="inlineStr">
        <is>
          <t>Chưa xác minh</t>
        </is>
      </c>
      <c r="V466" s="15" t="inlineStr">
        <is>
          <t>Chưa xác minh</t>
        </is>
      </c>
      <c r="W466" s="15" t="n"/>
      <c r="X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inlineStr">
        <is>
          <t>DRAFT — CHƯA DUYỆT</t>
        </is>
      </c>
      <c r="T467" s="15" t="inlineStr">
        <is>
          <t>Chưa xác minh</t>
        </is>
      </c>
      <c r="U467" s="15" t="inlineStr">
        <is>
          <t>Chưa xác minh</t>
        </is>
      </c>
      <c r="V467" s="15" t="inlineStr">
        <is>
          <t>Chưa xác minh</t>
        </is>
      </c>
      <c r="W467" s="15" t="n"/>
      <c r="X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inlineStr">
        <is>
          <t>DRAFT — CHƯA DUYỆT</t>
        </is>
      </c>
      <c r="T468" s="15" t="inlineStr">
        <is>
          <t>Chưa xác minh</t>
        </is>
      </c>
      <c r="U468" s="15" t="inlineStr">
        <is>
          <t>Chưa xác minh</t>
        </is>
      </c>
      <c r="V468" s="15" t="inlineStr">
        <is>
          <t>Chưa xác minh</t>
        </is>
      </c>
      <c r="W468" s="15" t="n"/>
      <c r="X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inlineStr">
        <is>
          <t>DRAFT — CHƯA DUYỆT</t>
        </is>
      </c>
      <c r="T469" s="15" t="inlineStr">
        <is>
          <t>Chưa xác minh</t>
        </is>
      </c>
      <c r="U469" s="15" t="inlineStr">
        <is>
          <t>Chưa xác minh</t>
        </is>
      </c>
      <c r="V469" s="15" t="inlineStr">
        <is>
          <t>Chưa xác minh</t>
        </is>
      </c>
      <c r="W469" s="15" t="n"/>
      <c r="X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inlineStr">
        <is>
          <t>DRAFT — CHƯA DUYỆT</t>
        </is>
      </c>
      <c r="T470" s="15" t="inlineStr">
        <is>
          <t>Chưa xác minh</t>
        </is>
      </c>
      <c r="U470" s="15" t="inlineStr">
        <is>
          <t>Chưa xác minh</t>
        </is>
      </c>
      <c r="V470" s="15" t="inlineStr">
        <is>
          <t>Chưa xác minh</t>
        </is>
      </c>
      <c r="W470" s="15" t="n"/>
      <c r="X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inlineStr">
        <is>
          <t>DRAFT — CHƯA DUYỆT</t>
        </is>
      </c>
      <c r="T471" s="15" t="inlineStr">
        <is>
          <t>Chưa xác minh</t>
        </is>
      </c>
      <c r="U471" s="15" t="inlineStr">
        <is>
          <t>Chưa xác minh</t>
        </is>
      </c>
      <c r="V471" s="15" t="inlineStr">
        <is>
          <t>Chưa xác minh</t>
        </is>
      </c>
      <c r="W471" s="15" t="n"/>
      <c r="X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inlineStr">
        <is>
          <t>DRAFT — CHƯA DUYỆT</t>
        </is>
      </c>
      <c r="T472" s="15" t="inlineStr">
        <is>
          <t>Chưa xác minh</t>
        </is>
      </c>
      <c r="U472" s="15" t="inlineStr">
        <is>
          <t>Chưa xác minh</t>
        </is>
      </c>
      <c r="V472" s="15" t="inlineStr">
        <is>
          <t>Chưa xác minh</t>
        </is>
      </c>
      <c r="W472" s="15" t="n"/>
      <c r="X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inlineStr">
        <is>
          <t>DRAFT — CHƯA DUYỆT</t>
        </is>
      </c>
      <c r="T473" s="15" t="inlineStr">
        <is>
          <t>Chưa xác minh</t>
        </is>
      </c>
      <c r="U473" s="15" t="inlineStr">
        <is>
          <t>Chưa xác minh</t>
        </is>
      </c>
      <c r="V473" s="15" t="inlineStr">
        <is>
          <t>Chưa xác minh</t>
        </is>
      </c>
      <c r="W473" s="15" t="n"/>
      <c r="X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inlineStr">
        <is>
          <t>DRAFT — CHƯA DUYỆT</t>
        </is>
      </c>
      <c r="T474" s="15" t="inlineStr">
        <is>
          <t>Chưa xác minh</t>
        </is>
      </c>
      <c r="U474" s="15" t="inlineStr">
        <is>
          <t>Chưa xác minh</t>
        </is>
      </c>
      <c r="V474" s="15" t="inlineStr">
        <is>
          <t>Chưa xác minh</t>
        </is>
      </c>
      <c r="W474" s="15" t="n"/>
      <c r="X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inlineStr">
        <is>
          <t>DRAFT — CHƯA DUYỆT</t>
        </is>
      </c>
      <c r="T475" s="15" t="inlineStr">
        <is>
          <t>Chưa xác minh</t>
        </is>
      </c>
      <c r="U475" s="15" t="inlineStr">
        <is>
          <t>Chưa xác minh</t>
        </is>
      </c>
      <c r="V475" s="15" t="inlineStr">
        <is>
          <t>Chưa xác minh</t>
        </is>
      </c>
      <c r="W475" s="15" t="n"/>
      <c r="X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inlineStr">
        <is>
          <t>DRAFT — CHƯA DUYỆT</t>
        </is>
      </c>
      <c r="T476" s="15" t="inlineStr">
        <is>
          <t>Chưa xác minh</t>
        </is>
      </c>
      <c r="U476" s="15" t="inlineStr">
        <is>
          <t>Chưa xác minh</t>
        </is>
      </c>
      <c r="V476" s="15" t="inlineStr">
        <is>
          <t>Chưa xác minh</t>
        </is>
      </c>
      <c r="W476" s="15" t="n"/>
      <c r="X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inlineStr">
        <is>
          <t>DRAFT — CHƯA DUYỆT</t>
        </is>
      </c>
      <c r="T477" s="15" t="inlineStr">
        <is>
          <t>Chưa xác minh</t>
        </is>
      </c>
      <c r="U477" s="15" t="inlineStr">
        <is>
          <t>Chưa xác minh</t>
        </is>
      </c>
      <c r="V477" s="15" t="inlineStr">
        <is>
          <t>Chưa xác minh</t>
        </is>
      </c>
      <c r="W477" s="15" t="n"/>
      <c r="X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inlineStr">
        <is>
          <t>DRAFT — CHƯA DUYỆT</t>
        </is>
      </c>
      <c r="T478" s="15" t="inlineStr">
        <is>
          <t>Chưa xác minh</t>
        </is>
      </c>
      <c r="U478" s="15" t="inlineStr">
        <is>
          <t>Chưa xác minh</t>
        </is>
      </c>
      <c r="V478" s="15" t="inlineStr">
        <is>
          <t>Chưa xác minh</t>
        </is>
      </c>
      <c r="W478" s="15" t="n"/>
      <c r="X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inlineStr">
        <is>
          <t>DRAFT — CHƯA DUYỆT</t>
        </is>
      </c>
      <c r="T479" s="15" t="inlineStr">
        <is>
          <t>Chưa xác minh</t>
        </is>
      </c>
      <c r="U479" s="15" t="inlineStr">
        <is>
          <t>Chưa xác minh</t>
        </is>
      </c>
      <c r="V479" s="15" t="inlineStr">
        <is>
          <t>Chưa xác minh</t>
        </is>
      </c>
      <c r="W479" s="15" t="n"/>
      <c r="X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inlineStr">
        <is>
          <t>DRAFT — CHƯA DUYỆT</t>
        </is>
      </c>
      <c r="T480" s="15" t="inlineStr">
        <is>
          <t>Chưa xác minh</t>
        </is>
      </c>
      <c r="U480" s="15" t="inlineStr">
        <is>
          <t>Chưa xác minh</t>
        </is>
      </c>
      <c r="V480" s="15" t="inlineStr">
        <is>
          <t>Chưa xác minh</t>
        </is>
      </c>
      <c r="W480" s="15" t="n"/>
      <c r="X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inlineStr">
        <is>
          <t>DRAFT — CHƯA DUYỆT</t>
        </is>
      </c>
      <c r="T481" s="15" t="inlineStr">
        <is>
          <t>Chưa xác minh</t>
        </is>
      </c>
      <c r="U481" s="15" t="inlineStr">
        <is>
          <t>Chưa xác minh</t>
        </is>
      </c>
      <c r="V481" s="15" t="inlineStr">
        <is>
          <t>Chưa xác minh</t>
        </is>
      </c>
      <c r="W481" s="15" t="n"/>
      <c r="X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inlineStr">
        <is>
          <t>DRAFT — CHƯA DUYỆT</t>
        </is>
      </c>
      <c r="T482" s="15" t="inlineStr">
        <is>
          <t>Chưa xác minh</t>
        </is>
      </c>
      <c r="U482" s="15" t="inlineStr">
        <is>
          <t>Chưa xác minh</t>
        </is>
      </c>
      <c r="V482" s="15" t="inlineStr">
        <is>
          <t>Chưa xác minh</t>
        </is>
      </c>
      <c r="W482" s="15" t="n"/>
      <c r="X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inlineStr">
        <is>
          <t>DRAFT — CHƯA DUYỆT</t>
        </is>
      </c>
      <c r="T483" s="15" t="inlineStr">
        <is>
          <t>Chưa xác minh</t>
        </is>
      </c>
      <c r="U483" s="15" t="inlineStr">
        <is>
          <t>Chưa xác minh</t>
        </is>
      </c>
      <c r="V483" s="15" t="inlineStr">
        <is>
          <t>Chưa xác minh</t>
        </is>
      </c>
      <c r="W483" s="15" t="n"/>
      <c r="X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inlineStr">
        <is>
          <t>DRAFT — CHƯA DUYỆT</t>
        </is>
      </c>
      <c r="T484" s="15" t="inlineStr">
        <is>
          <t>Chưa xác minh</t>
        </is>
      </c>
      <c r="U484" s="15" t="inlineStr">
        <is>
          <t>Chưa xác minh</t>
        </is>
      </c>
      <c r="V484" s="15" t="inlineStr">
        <is>
          <t>Chưa xác minh</t>
        </is>
      </c>
      <c r="W484" s="15" t="n"/>
      <c r="X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inlineStr">
        <is>
          <t>DRAFT — CHƯA DUYỆT</t>
        </is>
      </c>
      <c r="T485" s="15" t="inlineStr">
        <is>
          <t>Chưa xác minh</t>
        </is>
      </c>
      <c r="U485" s="15" t="inlineStr">
        <is>
          <t>Chưa xác minh</t>
        </is>
      </c>
      <c r="V485" s="15" t="inlineStr">
        <is>
          <t>Chưa xác minh</t>
        </is>
      </c>
      <c r="W485" s="15" t="n"/>
      <c r="X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inlineStr">
        <is>
          <t>DRAFT — CHƯA DUYỆT</t>
        </is>
      </c>
      <c r="T486" s="15" t="inlineStr">
        <is>
          <t>Chưa xác minh</t>
        </is>
      </c>
      <c r="U486" s="15" t="inlineStr">
        <is>
          <t>Chưa xác minh</t>
        </is>
      </c>
      <c r="V486" s="15" t="inlineStr">
        <is>
          <t>Chưa xác minh</t>
        </is>
      </c>
      <c r="W486" s="15" t="n"/>
      <c r="X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inlineStr">
        <is>
          <t>DRAFT — CHƯA DUYỆT</t>
        </is>
      </c>
      <c r="T487" s="15" t="inlineStr">
        <is>
          <t>Chưa xác minh</t>
        </is>
      </c>
      <c r="U487" s="15" t="inlineStr">
        <is>
          <t>Chưa xác minh</t>
        </is>
      </c>
      <c r="V487" s="15" t="inlineStr">
        <is>
          <t>Chưa xác minh</t>
        </is>
      </c>
      <c r="W487" s="15" t="n"/>
      <c r="X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inlineStr">
        <is>
          <t>DRAFT — CHƯA DUYỆT</t>
        </is>
      </c>
      <c r="T488" s="15" t="inlineStr">
        <is>
          <t>Chưa xác minh</t>
        </is>
      </c>
      <c r="U488" s="15" t="inlineStr">
        <is>
          <t>Chưa xác minh</t>
        </is>
      </c>
      <c r="V488" s="15" t="inlineStr">
        <is>
          <t>Chưa xác minh</t>
        </is>
      </c>
      <c r="W488" s="15" t="n"/>
      <c r="X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inlineStr">
        <is>
          <t>DRAFT — CHƯA DUYỆT</t>
        </is>
      </c>
      <c r="T489" s="15" t="inlineStr">
        <is>
          <t>Chưa xác minh</t>
        </is>
      </c>
      <c r="U489" s="15" t="inlineStr">
        <is>
          <t>Chưa xác minh</t>
        </is>
      </c>
      <c r="V489" s="15" t="inlineStr">
        <is>
          <t>Chưa xác minh</t>
        </is>
      </c>
      <c r="W489" s="15" t="n"/>
      <c r="X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inlineStr">
        <is>
          <t>DRAFT — CHƯA DUYỆT</t>
        </is>
      </c>
      <c r="T490" s="15" t="inlineStr">
        <is>
          <t>Chưa xác minh</t>
        </is>
      </c>
      <c r="U490" s="15" t="inlineStr">
        <is>
          <t>Chưa xác minh</t>
        </is>
      </c>
      <c r="V490" s="15" t="inlineStr">
        <is>
          <t>Chưa xác minh</t>
        </is>
      </c>
      <c r="W490" s="15" t="n"/>
      <c r="X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inlineStr">
        <is>
          <t>DRAFT — CHƯA DUYỆT</t>
        </is>
      </c>
      <c r="T491" s="15" t="inlineStr">
        <is>
          <t>Chưa xác minh</t>
        </is>
      </c>
      <c r="U491" s="15" t="inlineStr">
        <is>
          <t>Chưa xác minh</t>
        </is>
      </c>
      <c r="V491" s="15" t="inlineStr">
        <is>
          <t>Chưa xác minh</t>
        </is>
      </c>
      <c r="W491" s="15" t="n"/>
      <c r="X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inlineStr">
        <is>
          <t>DRAFT — CHƯA DUYỆT</t>
        </is>
      </c>
      <c r="T492" s="15" t="inlineStr">
        <is>
          <t>Chưa xác minh</t>
        </is>
      </c>
      <c r="U492" s="15" t="inlineStr">
        <is>
          <t>Chưa xác minh</t>
        </is>
      </c>
      <c r="V492" s="15" t="inlineStr">
        <is>
          <t>Chưa xác minh</t>
        </is>
      </c>
      <c r="W492" s="15" t="n"/>
      <c r="X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inlineStr">
        <is>
          <t>DRAFT — CHƯA DUYỆT</t>
        </is>
      </c>
      <c r="T493" s="15" t="inlineStr">
        <is>
          <t>Chưa xác minh</t>
        </is>
      </c>
      <c r="U493" s="15" t="inlineStr">
        <is>
          <t>Chưa xác minh</t>
        </is>
      </c>
      <c r="V493" s="15" t="inlineStr">
        <is>
          <t>Chưa xác minh</t>
        </is>
      </c>
      <c r="W493" s="15" t="n"/>
      <c r="X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inlineStr">
        <is>
          <t>DRAFT — CHƯA DUYỆT</t>
        </is>
      </c>
      <c r="T494" s="15" t="inlineStr">
        <is>
          <t>Chưa xác minh</t>
        </is>
      </c>
      <c r="U494" s="15" t="inlineStr">
        <is>
          <t>Chưa xác minh</t>
        </is>
      </c>
      <c r="V494" s="15" t="inlineStr">
        <is>
          <t>Chưa xác minh</t>
        </is>
      </c>
      <c r="W494" s="15" t="n"/>
      <c r="X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inlineStr">
        <is>
          <t>DRAFT — CHƯA DUYỆT</t>
        </is>
      </c>
      <c r="T495" s="15" t="inlineStr">
        <is>
          <t>Chưa xác minh</t>
        </is>
      </c>
      <c r="U495" s="15" t="inlineStr">
        <is>
          <t>Chưa xác minh</t>
        </is>
      </c>
      <c r="V495" s="15" t="inlineStr">
        <is>
          <t>Chưa xác minh</t>
        </is>
      </c>
      <c r="W495" s="15" t="n"/>
      <c r="X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inlineStr">
        <is>
          <t>DRAFT — CHƯA DUYỆT</t>
        </is>
      </c>
      <c r="T496" s="15" t="inlineStr">
        <is>
          <t>Chưa xác minh</t>
        </is>
      </c>
      <c r="U496" s="15" t="inlineStr">
        <is>
          <t>Chưa xác minh</t>
        </is>
      </c>
      <c r="V496" s="15" t="inlineStr">
        <is>
          <t>Chưa xác minh</t>
        </is>
      </c>
      <c r="W496" s="15" t="n"/>
      <c r="X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inlineStr">
        <is>
          <t>DRAFT — CHƯA DUYỆT</t>
        </is>
      </c>
      <c r="T497" s="15" t="inlineStr">
        <is>
          <t>Chưa xác minh</t>
        </is>
      </c>
      <c r="U497" s="15" t="inlineStr">
        <is>
          <t>Chưa xác minh</t>
        </is>
      </c>
      <c r="V497" s="15" t="inlineStr">
        <is>
          <t>Chưa xác minh</t>
        </is>
      </c>
      <c r="W497" s="15" t="n"/>
      <c r="X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inlineStr">
        <is>
          <t>DRAFT — CHƯA DUYỆT</t>
        </is>
      </c>
      <c r="T498" s="15" t="inlineStr">
        <is>
          <t>Chưa xác minh</t>
        </is>
      </c>
      <c r="U498" s="15" t="inlineStr">
        <is>
          <t>Chưa xác minh</t>
        </is>
      </c>
      <c r="V498" s="15" t="inlineStr">
        <is>
          <t>Chưa xác minh</t>
        </is>
      </c>
      <c r="W498" s="15" t="n"/>
      <c r="X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inlineStr">
        <is>
          <t>DRAFT — CHƯA DUYỆT</t>
        </is>
      </c>
      <c r="T499" s="15" t="inlineStr">
        <is>
          <t>Chưa xác minh</t>
        </is>
      </c>
      <c r="U499" s="15" t="inlineStr">
        <is>
          <t>Chưa xác minh</t>
        </is>
      </c>
      <c r="V499" s="15" t="inlineStr">
        <is>
          <t>Chưa xác minh</t>
        </is>
      </c>
      <c r="W499" s="15" t="n"/>
      <c r="X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inlineStr">
        <is>
          <t>DRAFT — CHƯA DUYỆT</t>
        </is>
      </c>
      <c r="T500" s="15" t="inlineStr">
        <is>
          <t>Chưa xác minh</t>
        </is>
      </c>
      <c r="U500" s="15" t="inlineStr">
        <is>
          <t>Chưa xác minh</t>
        </is>
      </c>
      <c r="V500" s="15" t="inlineStr">
        <is>
          <t>Chưa xác minh</t>
        </is>
      </c>
      <c r="W500" s="15" t="n"/>
      <c r="X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inlineStr">
        <is>
          <t>DRAFT — CHƯA DUYỆT</t>
        </is>
      </c>
      <c r="T501" s="15" t="inlineStr">
        <is>
          <t>Chưa xác minh</t>
        </is>
      </c>
      <c r="U501" s="15" t="inlineStr">
        <is>
          <t>Chưa xác minh</t>
        </is>
      </c>
      <c r="V501" s="15" t="inlineStr">
        <is>
          <t>Chưa xác minh</t>
        </is>
      </c>
      <c r="W501" s="15" t="n"/>
      <c r="X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inlineStr">
        <is>
          <t>DRAFT — CHƯA DUYỆT</t>
        </is>
      </c>
      <c r="T502" s="15" t="inlineStr">
        <is>
          <t>Chưa xác minh</t>
        </is>
      </c>
      <c r="U502" s="15" t="inlineStr">
        <is>
          <t>Chưa xác minh</t>
        </is>
      </c>
      <c r="V502" s="15" t="inlineStr">
        <is>
          <t>Chưa xác minh</t>
        </is>
      </c>
      <c r="W502" s="15" t="n"/>
      <c r="X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inlineStr">
        <is>
          <t>DRAFT — CHƯA DUYỆT</t>
        </is>
      </c>
      <c r="T503" s="15" t="inlineStr">
        <is>
          <t>Chưa xác minh</t>
        </is>
      </c>
      <c r="U503" s="15" t="inlineStr">
        <is>
          <t>Chưa xác minh</t>
        </is>
      </c>
      <c r="V503" s="15" t="inlineStr">
        <is>
          <t>Chưa xác minh</t>
        </is>
      </c>
      <c r="W503" s="15" t="n"/>
      <c r="X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inlineStr">
        <is>
          <t>DRAFT — CHƯA DUYỆT</t>
        </is>
      </c>
      <c r="T504" s="15" t="inlineStr">
        <is>
          <t>Chưa xác minh</t>
        </is>
      </c>
      <c r="U504" s="15" t="inlineStr">
        <is>
          <t>Chưa xác minh</t>
        </is>
      </c>
      <c r="V504" s="15" t="inlineStr">
        <is>
          <t>Chưa xác minh</t>
        </is>
      </c>
      <c r="W504" s="15" t="n"/>
      <c r="X504" s="15" t="n"/>
    </row>
  </sheetData>
  <mergeCells count="2">
    <mergeCell ref="A2:X2"/>
    <mergeCell ref="A1:X1"/>
  </mergeCells>
  <conditionalFormatting sqref="A5:X1000">
    <cfRule type="expression" priority="1" dxfId="1">
      <formula>$J5="SAFETY ESCALATION"</formula>
    </cfRule>
    <cfRule type="expression" priority="2" dxfId="0">
      <formula>$S5="ĐÃ DUYỆT"</formula>
    </cfRule>
  </conditionalFormatting>
  <dataValidations count="4">
    <dataValidation sqref="G5:G1000" showDropDown="0" showInputMessage="0" showErrorMessage="0" allowBlank="1" errorTitle="Giá trị không hợp lệ" error="Vui lòng chọn một giá trị trong danh sách." promptTitle="Trường chuẩn hóa" prompt="Chọn từ danh sách." type="list">
      <formula1>=RiskOfBias</formula1>
    </dataValidation>
    <dataValidation sqref="J5:J1000" showDropDown="0" showInputMessage="0" showErrorMessage="0" allowBlank="1" errorTitle="Giá trị không hợp lệ" error="Vui lòng chọn một giá trị trong danh sách." promptTitle="Trường chuẩn hóa" prompt="Chọn từ danh sách." type="list">
      <formula1>=Decision</formula1>
    </dataValidation>
    <dataValidation sqref="S5:S1000" showDropDown="0" showInputMessage="0" showErrorMessage="0" allowBlank="1" errorTitle="Giá trị không hợp lệ" error="Vui lòng chọn một giá trị trong danh sách." promptTitle="Trường chuẩn hóa" prompt="Chọn từ danh sách." type="list">
      <formula1>=CardStatus</formula1>
    </dataValidation>
    <dataValidation sqref="T5:V1000" showDropDown="0" showInputMessage="0" showErrorMessage="0" allowBlank="1" errorTitle="Giá trị không hợp lệ" error="Vui lòng chọn một giá trị trong danh sách." promptTitle="Trường chuẩn hóa" prompt="Chọn từ danh sách." type="list">
      <formula1>=Verification</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O504"/>
  <sheetViews>
    <sheetView showGridLines="0" workbookViewId="0">
      <pane ySplit="4" topLeftCell="A5" activePane="bottomLeft" state="frozen"/>
      <selection pane="bottomLeft" activeCell="A1" sqref="A1"/>
    </sheetView>
  </sheetViews>
  <sheetFormatPr baseColWidth="8" defaultRowHeight="15"/>
  <cols>
    <col width="15" customWidth="1" min="1" max="1"/>
    <col width="14" customWidth="1" min="2" max="2"/>
    <col width="15" customWidth="1" min="3" max="3"/>
    <col width="13" customWidth="1" min="4" max="4"/>
    <col width="14" customWidth="1" min="5" max="5"/>
    <col width="27" customWidth="1" min="6" max="6"/>
    <col width="48" customWidth="1" min="7" max="7"/>
    <col width="42" customWidth="1" min="8" max="8"/>
    <col width="20" customWidth="1" min="9" max="9"/>
    <col width="20" customWidth="1" min="10" max="10"/>
    <col width="22" customWidth="1" min="11" max="11"/>
    <col width="38" customWidth="1" min="12" max="12"/>
    <col width="15" customWidth="1" min="13" max="13"/>
    <col width="15" customWidth="1" min="14" max="14"/>
    <col width="35" customWidth="1" min="15" max="15"/>
  </cols>
  <sheetData>
    <row r="1" ht="28" customHeight="1">
      <c r="A1" s="1" t="inlineStr">
        <is>
          <t>NHẬT KÝ QUYẾT ĐỊNH</t>
        </is>
      </c>
    </row>
    <row r="2" ht="34" customHeight="1">
      <c r="A2" s="2" t="inlineStr">
        <is>
          <t>Audit trail bắt buộc: ai quyết định, dựa trên nguồn nào, hành động gì và khi nào rà soát lại.</t>
        </is>
      </c>
    </row>
    <row r="4" ht="38" customHeight="1">
      <c r="A4" s="3" t="inlineStr">
        <is>
          <t>Mã quyết định</t>
        </is>
      </c>
      <c r="B4" s="3" t="inlineStr">
        <is>
          <t>Mã phiếu</t>
        </is>
      </c>
      <c r="C4" s="3" t="inlineStr">
        <is>
          <t>Ngày</t>
        </is>
      </c>
      <c r="D4" s="3" t="inlineStr">
        <is>
          <t>Mã dự án</t>
        </is>
      </c>
      <c r="E4" s="3" t="inlineStr">
        <is>
          <t>Mã câu hỏi</t>
        </is>
      </c>
      <c r="F4" s="3" t="inlineStr">
        <is>
          <t>Quyết định</t>
        </is>
      </c>
      <c r="G4" s="3" t="inlineStr">
        <is>
          <t>Lý do</t>
        </is>
      </c>
      <c r="H4" s="3" t="inlineStr">
        <is>
          <t>Nguồn hỗ trợ</t>
        </is>
      </c>
      <c r="I4" s="3" t="inlineStr">
        <is>
          <t>Người đề xuất</t>
        </is>
      </c>
      <c r="J4" s="3" t="inlineStr">
        <is>
          <t>Người duyệt</t>
        </is>
      </c>
      <c r="K4" s="3" t="inlineStr">
        <is>
          <t>Cấp phê duyệt</t>
        </is>
      </c>
      <c r="L4" s="3" t="inlineStr">
        <is>
          <t>Hành động</t>
        </is>
      </c>
      <c r="M4" s="3" t="inlineStr">
        <is>
          <t>Hạn</t>
        </is>
      </c>
      <c r="N4" s="3" t="inlineStr">
        <is>
          <t>Rà soát lại</t>
        </is>
      </c>
      <c r="O4" s="3" t="inlineStr">
        <is>
          <t>Ghi chú</t>
        </is>
      </c>
    </row>
    <row r="5">
      <c r="A5" s="15" t="n"/>
      <c r="B5" s="15" t="n"/>
      <c r="C5" s="15" t="n"/>
      <c r="D5" s="15" t="n"/>
      <c r="E5" s="15" t="n"/>
      <c r="F5" s="15" t="n"/>
      <c r="G5" s="15" t="n"/>
      <c r="H5" s="15" t="n"/>
      <c r="I5" s="15" t="n"/>
      <c r="J5" s="15" t="n"/>
      <c r="K5" s="15" t="n"/>
      <c r="L5" s="15" t="n"/>
      <c r="M5" s="15" t="n"/>
      <c r="N5" s="15" t="n"/>
      <c r="O5" s="15" t="n"/>
    </row>
    <row r="6">
      <c r="A6" s="15" t="n"/>
      <c r="B6" s="15" t="n"/>
      <c r="C6" s="15" t="n"/>
      <c r="D6" s="15" t="n"/>
      <c r="E6" s="15" t="n"/>
      <c r="F6" s="15" t="n"/>
      <c r="G6" s="15" t="n"/>
      <c r="H6" s="15" t="n"/>
      <c r="I6" s="15" t="n"/>
      <c r="J6" s="15" t="n"/>
      <c r="K6" s="15" t="n"/>
      <c r="L6" s="15" t="n"/>
      <c r="M6" s="15" t="n"/>
      <c r="N6" s="15" t="n"/>
      <c r="O6" s="15" t="n"/>
    </row>
    <row r="7">
      <c r="A7" s="15" t="n"/>
      <c r="B7" s="15" t="n"/>
      <c r="C7" s="15" t="n"/>
      <c r="D7" s="15" t="n"/>
      <c r="E7" s="15" t="n"/>
      <c r="F7" s="15" t="n"/>
      <c r="G7" s="15" t="n"/>
      <c r="H7" s="15" t="n"/>
      <c r="I7" s="15" t="n"/>
      <c r="J7" s="15" t="n"/>
      <c r="K7" s="15" t="n"/>
      <c r="L7" s="15" t="n"/>
      <c r="M7" s="15" t="n"/>
      <c r="N7" s="15" t="n"/>
      <c r="O7" s="15" t="n"/>
    </row>
    <row r="8">
      <c r="A8" s="15" t="n"/>
      <c r="B8" s="15" t="n"/>
      <c r="C8" s="15" t="n"/>
      <c r="D8" s="15" t="n"/>
      <c r="E8" s="15" t="n"/>
      <c r="F8" s="15" t="n"/>
      <c r="G8" s="15" t="n"/>
      <c r="H8" s="15" t="n"/>
      <c r="I8" s="15" t="n"/>
      <c r="J8" s="15" t="n"/>
      <c r="K8" s="15" t="n"/>
      <c r="L8" s="15" t="n"/>
      <c r="M8" s="15" t="n"/>
      <c r="N8" s="15" t="n"/>
      <c r="O8" s="15" t="n"/>
    </row>
    <row r="9">
      <c r="A9" s="15" t="n"/>
      <c r="B9" s="15" t="n"/>
      <c r="C9" s="15" t="n"/>
      <c r="D9" s="15" t="n"/>
      <c r="E9" s="15" t="n"/>
      <c r="F9" s="15" t="n"/>
      <c r="G9" s="15" t="n"/>
      <c r="H9" s="15" t="n"/>
      <c r="I9" s="15" t="n"/>
      <c r="J9" s="15" t="n"/>
      <c r="K9" s="15" t="n"/>
      <c r="L9" s="15" t="n"/>
      <c r="M9" s="15" t="n"/>
      <c r="N9" s="15" t="n"/>
      <c r="O9" s="15" t="n"/>
    </row>
    <row r="10">
      <c r="A10" s="15" t="n"/>
      <c r="B10" s="15" t="n"/>
      <c r="C10" s="15" t="n"/>
      <c r="D10" s="15" t="n"/>
      <c r="E10" s="15" t="n"/>
      <c r="F10" s="15" t="n"/>
      <c r="G10" s="15" t="n"/>
      <c r="H10" s="15" t="n"/>
      <c r="I10" s="15" t="n"/>
      <c r="J10" s="15" t="n"/>
      <c r="K10" s="15" t="n"/>
      <c r="L10" s="15" t="n"/>
      <c r="M10" s="15" t="n"/>
      <c r="N10" s="15" t="n"/>
      <c r="O10" s="15" t="n"/>
    </row>
    <row r="11">
      <c r="A11" s="15" t="n"/>
      <c r="B11" s="15" t="n"/>
      <c r="C11" s="15" t="n"/>
      <c r="D11" s="15" t="n"/>
      <c r="E11" s="15" t="n"/>
      <c r="F11" s="15" t="n"/>
      <c r="G11" s="15" t="n"/>
      <c r="H11" s="15" t="n"/>
      <c r="I11" s="15" t="n"/>
      <c r="J11" s="15" t="n"/>
      <c r="K11" s="15" t="n"/>
      <c r="L11" s="15" t="n"/>
      <c r="M11" s="15" t="n"/>
      <c r="N11" s="15" t="n"/>
      <c r="O11" s="15" t="n"/>
    </row>
    <row r="12">
      <c r="A12" s="15" t="n"/>
      <c r="B12" s="15" t="n"/>
      <c r="C12" s="15" t="n"/>
      <c r="D12" s="15" t="n"/>
      <c r="E12" s="15" t="n"/>
      <c r="F12" s="15" t="n"/>
      <c r="G12" s="15" t="n"/>
      <c r="H12" s="15" t="n"/>
      <c r="I12" s="15" t="n"/>
      <c r="J12" s="15" t="n"/>
      <c r="K12" s="15" t="n"/>
      <c r="L12" s="15" t="n"/>
      <c r="M12" s="15" t="n"/>
      <c r="N12" s="15" t="n"/>
      <c r="O12" s="15" t="n"/>
    </row>
    <row r="13">
      <c r="A13" s="15" t="n"/>
      <c r="B13" s="15" t="n"/>
      <c r="C13" s="15" t="n"/>
      <c r="D13" s="15" t="n"/>
      <c r="E13" s="15" t="n"/>
      <c r="F13" s="15" t="n"/>
      <c r="G13" s="15" t="n"/>
      <c r="H13" s="15" t="n"/>
      <c r="I13" s="15" t="n"/>
      <c r="J13" s="15" t="n"/>
      <c r="K13" s="15" t="n"/>
      <c r="L13" s="15" t="n"/>
      <c r="M13" s="15" t="n"/>
      <c r="N13" s="15" t="n"/>
      <c r="O13" s="15" t="n"/>
    </row>
    <row r="14">
      <c r="A14" s="15" t="n"/>
      <c r="B14" s="15" t="n"/>
      <c r="C14" s="15" t="n"/>
      <c r="D14" s="15" t="n"/>
      <c r="E14" s="15" t="n"/>
      <c r="F14" s="15" t="n"/>
      <c r="G14" s="15" t="n"/>
      <c r="H14" s="15" t="n"/>
      <c r="I14" s="15" t="n"/>
      <c r="J14" s="15" t="n"/>
      <c r="K14" s="15" t="n"/>
      <c r="L14" s="15" t="n"/>
      <c r="M14" s="15" t="n"/>
      <c r="N14" s="15" t="n"/>
      <c r="O14" s="15" t="n"/>
    </row>
    <row r="15">
      <c r="A15" s="15" t="n"/>
      <c r="B15" s="15" t="n"/>
      <c r="C15" s="15" t="n"/>
      <c r="D15" s="15" t="n"/>
      <c r="E15" s="15" t="n"/>
      <c r="F15" s="15" t="n"/>
      <c r="G15" s="15" t="n"/>
      <c r="H15" s="15" t="n"/>
      <c r="I15" s="15" t="n"/>
      <c r="J15" s="15" t="n"/>
      <c r="K15" s="15" t="n"/>
      <c r="L15" s="15" t="n"/>
      <c r="M15" s="15" t="n"/>
      <c r="N15" s="15" t="n"/>
      <c r="O15" s="15" t="n"/>
    </row>
    <row r="16">
      <c r="A16" s="15" t="n"/>
      <c r="B16" s="15" t="n"/>
      <c r="C16" s="15" t="n"/>
      <c r="D16" s="15" t="n"/>
      <c r="E16" s="15" t="n"/>
      <c r="F16" s="15" t="n"/>
      <c r="G16" s="15" t="n"/>
      <c r="H16" s="15" t="n"/>
      <c r="I16" s="15" t="n"/>
      <c r="J16" s="15" t="n"/>
      <c r="K16" s="15" t="n"/>
      <c r="L16" s="15" t="n"/>
      <c r="M16" s="15" t="n"/>
      <c r="N16" s="15" t="n"/>
      <c r="O16" s="15" t="n"/>
    </row>
    <row r="17">
      <c r="A17" s="15" t="n"/>
      <c r="B17" s="15" t="n"/>
      <c r="C17" s="15" t="n"/>
      <c r="D17" s="15" t="n"/>
      <c r="E17" s="15" t="n"/>
      <c r="F17" s="15" t="n"/>
      <c r="G17" s="15" t="n"/>
      <c r="H17" s="15" t="n"/>
      <c r="I17" s="15" t="n"/>
      <c r="J17" s="15" t="n"/>
      <c r="K17" s="15" t="n"/>
      <c r="L17" s="15" t="n"/>
      <c r="M17" s="15" t="n"/>
      <c r="N17" s="15" t="n"/>
      <c r="O17" s="15" t="n"/>
    </row>
    <row r="18">
      <c r="A18" s="15" t="n"/>
      <c r="B18" s="15" t="n"/>
      <c r="C18" s="15" t="n"/>
      <c r="D18" s="15" t="n"/>
      <c r="E18" s="15" t="n"/>
      <c r="F18" s="15" t="n"/>
      <c r="G18" s="15" t="n"/>
      <c r="H18" s="15" t="n"/>
      <c r="I18" s="15" t="n"/>
      <c r="J18" s="15" t="n"/>
      <c r="K18" s="15" t="n"/>
      <c r="L18" s="15" t="n"/>
      <c r="M18" s="15" t="n"/>
      <c r="N18" s="15" t="n"/>
      <c r="O18" s="15" t="n"/>
    </row>
    <row r="19">
      <c r="A19" s="15" t="n"/>
      <c r="B19" s="15" t="n"/>
      <c r="C19" s="15" t="n"/>
      <c r="D19" s="15" t="n"/>
      <c r="E19" s="15" t="n"/>
      <c r="F19" s="15" t="n"/>
      <c r="G19" s="15" t="n"/>
      <c r="H19" s="15" t="n"/>
      <c r="I19" s="15" t="n"/>
      <c r="J19" s="15" t="n"/>
      <c r="K19" s="15" t="n"/>
      <c r="L19" s="15" t="n"/>
      <c r="M19" s="15" t="n"/>
      <c r="N19" s="15" t="n"/>
      <c r="O19" s="15" t="n"/>
    </row>
    <row r="20">
      <c r="A20" s="15" t="n"/>
      <c r="B20" s="15" t="n"/>
      <c r="C20" s="15" t="n"/>
      <c r="D20" s="15" t="n"/>
      <c r="E20" s="15" t="n"/>
      <c r="F20" s="15" t="n"/>
      <c r="G20" s="15" t="n"/>
      <c r="H20" s="15" t="n"/>
      <c r="I20" s="15" t="n"/>
      <c r="J20" s="15" t="n"/>
      <c r="K20" s="15" t="n"/>
      <c r="L20" s="15" t="n"/>
      <c r="M20" s="15" t="n"/>
      <c r="N20" s="15" t="n"/>
      <c r="O20" s="15" t="n"/>
    </row>
    <row r="21">
      <c r="A21" s="15" t="n"/>
      <c r="B21" s="15" t="n"/>
      <c r="C21" s="15" t="n"/>
      <c r="D21" s="15" t="n"/>
      <c r="E21" s="15" t="n"/>
      <c r="F21" s="15" t="n"/>
      <c r="G21" s="15" t="n"/>
      <c r="H21" s="15" t="n"/>
      <c r="I21" s="15" t="n"/>
      <c r="J21" s="15" t="n"/>
      <c r="K21" s="15" t="n"/>
      <c r="L21" s="15" t="n"/>
      <c r="M21" s="15" t="n"/>
      <c r="N21" s="15" t="n"/>
      <c r="O21" s="15" t="n"/>
    </row>
    <row r="22">
      <c r="A22" s="15" t="n"/>
      <c r="B22" s="15" t="n"/>
      <c r="C22" s="15" t="n"/>
      <c r="D22" s="15" t="n"/>
      <c r="E22" s="15" t="n"/>
      <c r="F22" s="15" t="n"/>
      <c r="G22" s="15" t="n"/>
      <c r="H22" s="15" t="n"/>
      <c r="I22" s="15" t="n"/>
      <c r="J22" s="15" t="n"/>
      <c r="K22" s="15" t="n"/>
      <c r="L22" s="15" t="n"/>
      <c r="M22" s="15" t="n"/>
      <c r="N22" s="15" t="n"/>
      <c r="O22" s="15" t="n"/>
    </row>
    <row r="23">
      <c r="A23" s="15" t="n"/>
      <c r="B23" s="15" t="n"/>
      <c r="C23" s="15" t="n"/>
      <c r="D23" s="15" t="n"/>
      <c r="E23" s="15" t="n"/>
      <c r="F23" s="15" t="n"/>
      <c r="G23" s="15" t="n"/>
      <c r="H23" s="15" t="n"/>
      <c r="I23" s="15" t="n"/>
      <c r="J23" s="15" t="n"/>
      <c r="K23" s="15" t="n"/>
      <c r="L23" s="15" t="n"/>
      <c r="M23" s="15" t="n"/>
      <c r="N23" s="15" t="n"/>
      <c r="O23" s="15" t="n"/>
    </row>
    <row r="24">
      <c r="A24" s="15" t="n"/>
      <c r="B24" s="15" t="n"/>
      <c r="C24" s="15" t="n"/>
      <c r="D24" s="15" t="n"/>
      <c r="E24" s="15" t="n"/>
      <c r="F24" s="15" t="n"/>
      <c r="G24" s="15" t="n"/>
      <c r="H24" s="15" t="n"/>
      <c r="I24" s="15" t="n"/>
      <c r="J24" s="15" t="n"/>
      <c r="K24" s="15" t="n"/>
      <c r="L24" s="15" t="n"/>
      <c r="M24" s="15" t="n"/>
      <c r="N24" s="15" t="n"/>
      <c r="O24" s="15" t="n"/>
    </row>
    <row r="25">
      <c r="A25" s="15" t="n"/>
      <c r="B25" s="15" t="n"/>
      <c r="C25" s="15" t="n"/>
      <c r="D25" s="15" t="n"/>
      <c r="E25" s="15" t="n"/>
      <c r="F25" s="15" t="n"/>
      <c r="G25" s="15" t="n"/>
      <c r="H25" s="15" t="n"/>
      <c r="I25" s="15" t="n"/>
      <c r="J25" s="15" t="n"/>
      <c r="K25" s="15" t="n"/>
      <c r="L25" s="15" t="n"/>
      <c r="M25" s="15" t="n"/>
      <c r="N25" s="15" t="n"/>
      <c r="O25" s="15" t="n"/>
    </row>
    <row r="26">
      <c r="A26" s="15" t="n"/>
      <c r="B26" s="15" t="n"/>
      <c r="C26" s="15" t="n"/>
      <c r="D26" s="15" t="n"/>
      <c r="E26" s="15" t="n"/>
      <c r="F26" s="15" t="n"/>
      <c r="G26" s="15" t="n"/>
      <c r="H26" s="15" t="n"/>
      <c r="I26" s="15" t="n"/>
      <c r="J26" s="15" t="n"/>
      <c r="K26" s="15" t="n"/>
      <c r="L26" s="15" t="n"/>
      <c r="M26" s="15" t="n"/>
      <c r="N26" s="15" t="n"/>
      <c r="O26" s="15" t="n"/>
    </row>
    <row r="27">
      <c r="A27" s="15" t="n"/>
      <c r="B27" s="15" t="n"/>
      <c r="C27" s="15" t="n"/>
      <c r="D27" s="15" t="n"/>
      <c r="E27" s="15" t="n"/>
      <c r="F27" s="15" t="n"/>
      <c r="G27" s="15" t="n"/>
      <c r="H27" s="15" t="n"/>
      <c r="I27" s="15" t="n"/>
      <c r="J27" s="15" t="n"/>
      <c r="K27" s="15" t="n"/>
      <c r="L27" s="15" t="n"/>
      <c r="M27" s="15" t="n"/>
      <c r="N27" s="15" t="n"/>
      <c r="O27" s="15" t="n"/>
    </row>
    <row r="28">
      <c r="A28" s="15" t="n"/>
      <c r="B28" s="15" t="n"/>
      <c r="C28" s="15" t="n"/>
      <c r="D28" s="15" t="n"/>
      <c r="E28" s="15" t="n"/>
      <c r="F28" s="15" t="n"/>
      <c r="G28" s="15" t="n"/>
      <c r="H28" s="15" t="n"/>
      <c r="I28" s="15" t="n"/>
      <c r="J28" s="15" t="n"/>
      <c r="K28" s="15" t="n"/>
      <c r="L28" s="15" t="n"/>
      <c r="M28" s="15" t="n"/>
      <c r="N28" s="15" t="n"/>
      <c r="O28" s="15" t="n"/>
    </row>
    <row r="29">
      <c r="A29" s="15" t="n"/>
      <c r="B29" s="15" t="n"/>
      <c r="C29" s="15" t="n"/>
      <c r="D29" s="15" t="n"/>
      <c r="E29" s="15" t="n"/>
      <c r="F29" s="15" t="n"/>
      <c r="G29" s="15" t="n"/>
      <c r="H29" s="15" t="n"/>
      <c r="I29" s="15" t="n"/>
      <c r="J29" s="15" t="n"/>
      <c r="K29" s="15" t="n"/>
      <c r="L29" s="15" t="n"/>
      <c r="M29" s="15" t="n"/>
      <c r="N29" s="15" t="n"/>
      <c r="O29" s="15" t="n"/>
    </row>
    <row r="30">
      <c r="A30" s="15" t="n"/>
      <c r="B30" s="15" t="n"/>
      <c r="C30" s="15" t="n"/>
      <c r="D30" s="15" t="n"/>
      <c r="E30" s="15" t="n"/>
      <c r="F30" s="15" t="n"/>
      <c r="G30" s="15" t="n"/>
      <c r="H30" s="15" t="n"/>
      <c r="I30" s="15" t="n"/>
      <c r="J30" s="15" t="n"/>
      <c r="K30" s="15" t="n"/>
      <c r="L30" s="15" t="n"/>
      <c r="M30" s="15" t="n"/>
      <c r="N30" s="15" t="n"/>
      <c r="O30" s="15" t="n"/>
    </row>
    <row r="31">
      <c r="A31" s="15" t="n"/>
      <c r="B31" s="15" t="n"/>
      <c r="C31" s="15" t="n"/>
      <c r="D31" s="15" t="n"/>
      <c r="E31" s="15" t="n"/>
      <c r="F31" s="15" t="n"/>
      <c r="G31" s="15" t="n"/>
      <c r="H31" s="15" t="n"/>
      <c r="I31" s="15" t="n"/>
      <c r="J31" s="15" t="n"/>
      <c r="K31" s="15" t="n"/>
      <c r="L31" s="15" t="n"/>
      <c r="M31" s="15" t="n"/>
      <c r="N31" s="15" t="n"/>
      <c r="O31" s="15" t="n"/>
    </row>
    <row r="32">
      <c r="A32" s="15" t="n"/>
      <c r="B32" s="15" t="n"/>
      <c r="C32" s="15" t="n"/>
      <c r="D32" s="15" t="n"/>
      <c r="E32" s="15" t="n"/>
      <c r="F32" s="15" t="n"/>
      <c r="G32" s="15" t="n"/>
      <c r="H32" s="15" t="n"/>
      <c r="I32" s="15" t="n"/>
      <c r="J32" s="15" t="n"/>
      <c r="K32" s="15" t="n"/>
      <c r="L32" s="15" t="n"/>
      <c r="M32" s="15" t="n"/>
      <c r="N32" s="15" t="n"/>
      <c r="O32" s="15" t="n"/>
    </row>
    <row r="33">
      <c r="A33" s="15" t="n"/>
      <c r="B33" s="15" t="n"/>
      <c r="C33" s="15" t="n"/>
      <c r="D33" s="15" t="n"/>
      <c r="E33" s="15" t="n"/>
      <c r="F33" s="15" t="n"/>
      <c r="G33" s="15" t="n"/>
      <c r="H33" s="15" t="n"/>
      <c r="I33" s="15" t="n"/>
      <c r="J33" s="15" t="n"/>
      <c r="K33" s="15" t="n"/>
      <c r="L33" s="15" t="n"/>
      <c r="M33" s="15" t="n"/>
      <c r="N33" s="15" t="n"/>
      <c r="O33" s="15" t="n"/>
    </row>
    <row r="34">
      <c r="A34" s="15" t="n"/>
      <c r="B34" s="15" t="n"/>
      <c r="C34" s="15" t="n"/>
      <c r="D34" s="15" t="n"/>
      <c r="E34" s="15" t="n"/>
      <c r="F34" s="15" t="n"/>
      <c r="G34" s="15" t="n"/>
      <c r="H34" s="15" t="n"/>
      <c r="I34" s="15" t="n"/>
      <c r="J34" s="15" t="n"/>
      <c r="K34" s="15" t="n"/>
      <c r="L34" s="15" t="n"/>
      <c r="M34" s="15" t="n"/>
      <c r="N34" s="15" t="n"/>
      <c r="O34" s="15" t="n"/>
    </row>
    <row r="35">
      <c r="A35" s="15" t="n"/>
      <c r="B35" s="15" t="n"/>
      <c r="C35" s="15" t="n"/>
      <c r="D35" s="15" t="n"/>
      <c r="E35" s="15" t="n"/>
      <c r="F35" s="15" t="n"/>
      <c r="G35" s="15" t="n"/>
      <c r="H35" s="15" t="n"/>
      <c r="I35" s="15" t="n"/>
      <c r="J35" s="15" t="n"/>
      <c r="K35" s="15" t="n"/>
      <c r="L35" s="15" t="n"/>
      <c r="M35" s="15" t="n"/>
      <c r="N35" s="15" t="n"/>
      <c r="O35" s="15" t="n"/>
    </row>
    <row r="36">
      <c r="A36" s="15" t="n"/>
      <c r="B36" s="15" t="n"/>
      <c r="C36" s="15" t="n"/>
      <c r="D36" s="15" t="n"/>
      <c r="E36" s="15" t="n"/>
      <c r="F36" s="15" t="n"/>
      <c r="G36" s="15" t="n"/>
      <c r="H36" s="15" t="n"/>
      <c r="I36" s="15" t="n"/>
      <c r="J36" s="15" t="n"/>
      <c r="K36" s="15" t="n"/>
      <c r="L36" s="15" t="n"/>
      <c r="M36" s="15" t="n"/>
      <c r="N36" s="15" t="n"/>
      <c r="O36" s="15" t="n"/>
    </row>
    <row r="37">
      <c r="A37" s="15" t="n"/>
      <c r="B37" s="15" t="n"/>
      <c r="C37" s="15" t="n"/>
      <c r="D37" s="15" t="n"/>
      <c r="E37" s="15" t="n"/>
      <c r="F37" s="15" t="n"/>
      <c r="G37" s="15" t="n"/>
      <c r="H37" s="15" t="n"/>
      <c r="I37" s="15" t="n"/>
      <c r="J37" s="15" t="n"/>
      <c r="K37" s="15" t="n"/>
      <c r="L37" s="15" t="n"/>
      <c r="M37" s="15" t="n"/>
      <c r="N37" s="15" t="n"/>
      <c r="O37" s="15" t="n"/>
    </row>
    <row r="38">
      <c r="A38" s="15" t="n"/>
      <c r="B38" s="15" t="n"/>
      <c r="C38" s="15" t="n"/>
      <c r="D38" s="15" t="n"/>
      <c r="E38" s="15" t="n"/>
      <c r="F38" s="15" t="n"/>
      <c r="G38" s="15" t="n"/>
      <c r="H38" s="15" t="n"/>
      <c r="I38" s="15" t="n"/>
      <c r="J38" s="15" t="n"/>
      <c r="K38" s="15" t="n"/>
      <c r="L38" s="15" t="n"/>
      <c r="M38" s="15" t="n"/>
      <c r="N38" s="15" t="n"/>
      <c r="O38" s="15" t="n"/>
    </row>
    <row r="39">
      <c r="A39" s="15" t="n"/>
      <c r="B39" s="15" t="n"/>
      <c r="C39" s="15" t="n"/>
      <c r="D39" s="15" t="n"/>
      <c r="E39" s="15" t="n"/>
      <c r="F39" s="15" t="n"/>
      <c r="G39" s="15" t="n"/>
      <c r="H39" s="15" t="n"/>
      <c r="I39" s="15" t="n"/>
      <c r="J39" s="15" t="n"/>
      <c r="K39" s="15" t="n"/>
      <c r="L39" s="15" t="n"/>
      <c r="M39" s="15" t="n"/>
      <c r="N39" s="15" t="n"/>
      <c r="O39" s="15" t="n"/>
    </row>
    <row r="40">
      <c r="A40" s="15" t="n"/>
      <c r="B40" s="15" t="n"/>
      <c r="C40" s="15" t="n"/>
      <c r="D40" s="15" t="n"/>
      <c r="E40" s="15" t="n"/>
      <c r="F40" s="15" t="n"/>
      <c r="G40" s="15" t="n"/>
      <c r="H40" s="15" t="n"/>
      <c r="I40" s="15" t="n"/>
      <c r="J40" s="15" t="n"/>
      <c r="K40" s="15" t="n"/>
      <c r="L40" s="15" t="n"/>
      <c r="M40" s="15" t="n"/>
      <c r="N40" s="15" t="n"/>
      <c r="O40" s="15" t="n"/>
    </row>
    <row r="41">
      <c r="A41" s="15" t="n"/>
      <c r="B41" s="15" t="n"/>
      <c r="C41" s="15" t="n"/>
      <c r="D41" s="15" t="n"/>
      <c r="E41" s="15" t="n"/>
      <c r="F41" s="15" t="n"/>
      <c r="G41" s="15" t="n"/>
      <c r="H41" s="15" t="n"/>
      <c r="I41" s="15" t="n"/>
      <c r="J41" s="15" t="n"/>
      <c r="K41" s="15" t="n"/>
      <c r="L41" s="15" t="n"/>
      <c r="M41" s="15" t="n"/>
      <c r="N41" s="15" t="n"/>
      <c r="O41" s="15" t="n"/>
    </row>
    <row r="42">
      <c r="A42" s="15" t="n"/>
      <c r="B42" s="15" t="n"/>
      <c r="C42" s="15" t="n"/>
      <c r="D42" s="15" t="n"/>
      <c r="E42" s="15" t="n"/>
      <c r="F42" s="15" t="n"/>
      <c r="G42" s="15" t="n"/>
      <c r="H42" s="15" t="n"/>
      <c r="I42" s="15" t="n"/>
      <c r="J42" s="15" t="n"/>
      <c r="K42" s="15" t="n"/>
      <c r="L42" s="15" t="n"/>
      <c r="M42" s="15" t="n"/>
      <c r="N42" s="15" t="n"/>
      <c r="O42" s="15" t="n"/>
    </row>
    <row r="43">
      <c r="A43" s="15" t="n"/>
      <c r="B43" s="15" t="n"/>
      <c r="C43" s="15" t="n"/>
      <c r="D43" s="15" t="n"/>
      <c r="E43" s="15" t="n"/>
      <c r="F43" s="15" t="n"/>
      <c r="G43" s="15" t="n"/>
      <c r="H43" s="15" t="n"/>
      <c r="I43" s="15" t="n"/>
      <c r="J43" s="15" t="n"/>
      <c r="K43" s="15" t="n"/>
      <c r="L43" s="15" t="n"/>
      <c r="M43" s="15" t="n"/>
      <c r="N43" s="15" t="n"/>
      <c r="O43" s="15" t="n"/>
    </row>
    <row r="44">
      <c r="A44" s="15" t="n"/>
      <c r="B44" s="15" t="n"/>
      <c r="C44" s="15" t="n"/>
      <c r="D44" s="15" t="n"/>
      <c r="E44" s="15" t="n"/>
      <c r="F44" s="15" t="n"/>
      <c r="G44" s="15" t="n"/>
      <c r="H44" s="15" t="n"/>
      <c r="I44" s="15" t="n"/>
      <c r="J44" s="15" t="n"/>
      <c r="K44" s="15" t="n"/>
      <c r="L44" s="15" t="n"/>
      <c r="M44" s="15" t="n"/>
      <c r="N44" s="15" t="n"/>
      <c r="O44" s="15" t="n"/>
    </row>
    <row r="45">
      <c r="A45" s="15" t="n"/>
      <c r="B45" s="15" t="n"/>
      <c r="C45" s="15" t="n"/>
      <c r="D45" s="15" t="n"/>
      <c r="E45" s="15" t="n"/>
      <c r="F45" s="15" t="n"/>
      <c r="G45" s="15" t="n"/>
      <c r="H45" s="15" t="n"/>
      <c r="I45" s="15" t="n"/>
      <c r="J45" s="15" t="n"/>
      <c r="K45" s="15" t="n"/>
      <c r="L45" s="15" t="n"/>
      <c r="M45" s="15" t="n"/>
      <c r="N45" s="15" t="n"/>
      <c r="O45" s="15" t="n"/>
    </row>
    <row r="46">
      <c r="A46" s="15" t="n"/>
      <c r="B46" s="15" t="n"/>
      <c r="C46" s="15" t="n"/>
      <c r="D46" s="15" t="n"/>
      <c r="E46" s="15" t="n"/>
      <c r="F46" s="15" t="n"/>
      <c r="G46" s="15" t="n"/>
      <c r="H46" s="15" t="n"/>
      <c r="I46" s="15" t="n"/>
      <c r="J46" s="15" t="n"/>
      <c r="K46" s="15" t="n"/>
      <c r="L46" s="15" t="n"/>
      <c r="M46" s="15" t="n"/>
      <c r="N46" s="15" t="n"/>
      <c r="O46" s="15" t="n"/>
    </row>
    <row r="47">
      <c r="A47" s="15" t="n"/>
      <c r="B47" s="15" t="n"/>
      <c r="C47" s="15" t="n"/>
      <c r="D47" s="15" t="n"/>
      <c r="E47" s="15" t="n"/>
      <c r="F47" s="15" t="n"/>
      <c r="G47" s="15" t="n"/>
      <c r="H47" s="15" t="n"/>
      <c r="I47" s="15" t="n"/>
      <c r="J47" s="15" t="n"/>
      <c r="K47" s="15" t="n"/>
      <c r="L47" s="15" t="n"/>
      <c r="M47" s="15" t="n"/>
      <c r="N47" s="15" t="n"/>
      <c r="O47" s="15" t="n"/>
    </row>
    <row r="48">
      <c r="A48" s="15" t="n"/>
      <c r="B48" s="15" t="n"/>
      <c r="C48" s="15" t="n"/>
      <c r="D48" s="15" t="n"/>
      <c r="E48" s="15" t="n"/>
      <c r="F48" s="15" t="n"/>
      <c r="G48" s="15" t="n"/>
      <c r="H48" s="15" t="n"/>
      <c r="I48" s="15" t="n"/>
      <c r="J48" s="15" t="n"/>
      <c r="K48" s="15" t="n"/>
      <c r="L48" s="15" t="n"/>
      <c r="M48" s="15" t="n"/>
      <c r="N48" s="15" t="n"/>
      <c r="O48" s="15" t="n"/>
    </row>
    <row r="49">
      <c r="A49" s="15" t="n"/>
      <c r="B49" s="15" t="n"/>
      <c r="C49" s="15" t="n"/>
      <c r="D49" s="15" t="n"/>
      <c r="E49" s="15" t="n"/>
      <c r="F49" s="15" t="n"/>
      <c r="G49" s="15" t="n"/>
      <c r="H49" s="15" t="n"/>
      <c r="I49" s="15" t="n"/>
      <c r="J49" s="15" t="n"/>
      <c r="K49" s="15" t="n"/>
      <c r="L49" s="15" t="n"/>
      <c r="M49" s="15" t="n"/>
      <c r="N49" s="15" t="n"/>
      <c r="O49" s="15" t="n"/>
    </row>
    <row r="50">
      <c r="A50" s="15" t="n"/>
      <c r="B50" s="15" t="n"/>
      <c r="C50" s="15" t="n"/>
      <c r="D50" s="15" t="n"/>
      <c r="E50" s="15" t="n"/>
      <c r="F50" s="15" t="n"/>
      <c r="G50" s="15" t="n"/>
      <c r="H50" s="15" t="n"/>
      <c r="I50" s="15" t="n"/>
      <c r="J50" s="15" t="n"/>
      <c r="K50" s="15" t="n"/>
      <c r="L50" s="15" t="n"/>
      <c r="M50" s="15" t="n"/>
      <c r="N50" s="15" t="n"/>
      <c r="O50" s="15" t="n"/>
    </row>
    <row r="51">
      <c r="A51" s="15" t="n"/>
      <c r="B51" s="15" t="n"/>
      <c r="C51" s="15" t="n"/>
      <c r="D51" s="15" t="n"/>
      <c r="E51" s="15" t="n"/>
      <c r="F51" s="15" t="n"/>
      <c r="G51" s="15" t="n"/>
      <c r="H51" s="15" t="n"/>
      <c r="I51" s="15" t="n"/>
      <c r="J51" s="15" t="n"/>
      <c r="K51" s="15" t="n"/>
      <c r="L51" s="15" t="n"/>
      <c r="M51" s="15" t="n"/>
      <c r="N51" s="15" t="n"/>
      <c r="O51" s="15" t="n"/>
    </row>
    <row r="52">
      <c r="A52" s="15" t="n"/>
      <c r="B52" s="15" t="n"/>
      <c r="C52" s="15" t="n"/>
      <c r="D52" s="15" t="n"/>
      <c r="E52" s="15" t="n"/>
      <c r="F52" s="15" t="n"/>
      <c r="G52" s="15" t="n"/>
      <c r="H52" s="15" t="n"/>
      <c r="I52" s="15" t="n"/>
      <c r="J52" s="15" t="n"/>
      <c r="K52" s="15" t="n"/>
      <c r="L52" s="15" t="n"/>
      <c r="M52" s="15" t="n"/>
      <c r="N52" s="15" t="n"/>
      <c r="O52" s="15" t="n"/>
    </row>
    <row r="53">
      <c r="A53" s="15" t="n"/>
      <c r="B53" s="15" t="n"/>
      <c r="C53" s="15" t="n"/>
      <c r="D53" s="15" t="n"/>
      <c r="E53" s="15" t="n"/>
      <c r="F53" s="15" t="n"/>
      <c r="G53" s="15" t="n"/>
      <c r="H53" s="15" t="n"/>
      <c r="I53" s="15" t="n"/>
      <c r="J53" s="15" t="n"/>
      <c r="K53" s="15" t="n"/>
      <c r="L53" s="15" t="n"/>
      <c r="M53" s="15" t="n"/>
      <c r="N53" s="15" t="n"/>
      <c r="O53" s="15" t="n"/>
    </row>
    <row r="54">
      <c r="A54" s="15" t="n"/>
      <c r="B54" s="15" t="n"/>
      <c r="C54" s="15" t="n"/>
      <c r="D54" s="15" t="n"/>
      <c r="E54" s="15" t="n"/>
      <c r="F54" s="15" t="n"/>
      <c r="G54" s="15" t="n"/>
      <c r="H54" s="15" t="n"/>
      <c r="I54" s="15" t="n"/>
      <c r="J54" s="15" t="n"/>
      <c r="K54" s="15" t="n"/>
      <c r="L54" s="15" t="n"/>
      <c r="M54" s="15" t="n"/>
      <c r="N54" s="15" t="n"/>
      <c r="O54" s="15" t="n"/>
    </row>
    <row r="55">
      <c r="A55" s="15" t="n"/>
      <c r="B55" s="15" t="n"/>
      <c r="C55" s="15" t="n"/>
      <c r="D55" s="15" t="n"/>
      <c r="E55" s="15" t="n"/>
      <c r="F55" s="15" t="n"/>
      <c r="G55" s="15" t="n"/>
      <c r="H55" s="15" t="n"/>
      <c r="I55" s="15" t="n"/>
      <c r="J55" s="15" t="n"/>
      <c r="K55" s="15" t="n"/>
      <c r="L55" s="15" t="n"/>
      <c r="M55" s="15" t="n"/>
      <c r="N55" s="15" t="n"/>
      <c r="O55" s="15" t="n"/>
    </row>
    <row r="56">
      <c r="A56" s="15" t="n"/>
      <c r="B56" s="15" t="n"/>
      <c r="C56" s="15" t="n"/>
      <c r="D56" s="15" t="n"/>
      <c r="E56" s="15" t="n"/>
      <c r="F56" s="15" t="n"/>
      <c r="G56" s="15" t="n"/>
      <c r="H56" s="15" t="n"/>
      <c r="I56" s="15" t="n"/>
      <c r="J56" s="15" t="n"/>
      <c r="K56" s="15" t="n"/>
      <c r="L56" s="15" t="n"/>
      <c r="M56" s="15" t="n"/>
      <c r="N56" s="15" t="n"/>
      <c r="O56" s="15" t="n"/>
    </row>
    <row r="57">
      <c r="A57" s="15" t="n"/>
      <c r="B57" s="15" t="n"/>
      <c r="C57" s="15" t="n"/>
      <c r="D57" s="15" t="n"/>
      <c r="E57" s="15" t="n"/>
      <c r="F57" s="15" t="n"/>
      <c r="G57" s="15" t="n"/>
      <c r="H57" s="15" t="n"/>
      <c r="I57" s="15" t="n"/>
      <c r="J57" s="15" t="n"/>
      <c r="K57" s="15" t="n"/>
      <c r="L57" s="15" t="n"/>
      <c r="M57" s="15" t="n"/>
      <c r="N57" s="15" t="n"/>
      <c r="O57" s="15" t="n"/>
    </row>
    <row r="58">
      <c r="A58" s="15" t="n"/>
      <c r="B58" s="15" t="n"/>
      <c r="C58" s="15" t="n"/>
      <c r="D58" s="15" t="n"/>
      <c r="E58" s="15" t="n"/>
      <c r="F58" s="15" t="n"/>
      <c r="G58" s="15" t="n"/>
      <c r="H58" s="15" t="n"/>
      <c r="I58" s="15" t="n"/>
      <c r="J58" s="15" t="n"/>
      <c r="K58" s="15" t="n"/>
      <c r="L58" s="15" t="n"/>
      <c r="M58" s="15" t="n"/>
      <c r="N58" s="15" t="n"/>
      <c r="O58" s="15" t="n"/>
    </row>
    <row r="59">
      <c r="A59" s="15" t="n"/>
      <c r="B59" s="15" t="n"/>
      <c r="C59" s="15" t="n"/>
      <c r="D59" s="15" t="n"/>
      <c r="E59" s="15" t="n"/>
      <c r="F59" s="15" t="n"/>
      <c r="G59" s="15" t="n"/>
      <c r="H59" s="15" t="n"/>
      <c r="I59" s="15" t="n"/>
      <c r="J59" s="15" t="n"/>
      <c r="K59" s="15" t="n"/>
      <c r="L59" s="15" t="n"/>
      <c r="M59" s="15" t="n"/>
      <c r="N59" s="15" t="n"/>
      <c r="O59" s="15" t="n"/>
    </row>
    <row r="60">
      <c r="A60" s="15" t="n"/>
      <c r="B60" s="15" t="n"/>
      <c r="C60" s="15" t="n"/>
      <c r="D60" s="15" t="n"/>
      <c r="E60" s="15" t="n"/>
      <c r="F60" s="15" t="n"/>
      <c r="G60" s="15" t="n"/>
      <c r="H60" s="15" t="n"/>
      <c r="I60" s="15" t="n"/>
      <c r="J60" s="15" t="n"/>
      <c r="K60" s="15" t="n"/>
      <c r="L60" s="15" t="n"/>
      <c r="M60" s="15" t="n"/>
      <c r="N60" s="15" t="n"/>
      <c r="O60" s="15" t="n"/>
    </row>
    <row r="61">
      <c r="A61" s="15" t="n"/>
      <c r="B61" s="15" t="n"/>
      <c r="C61" s="15" t="n"/>
      <c r="D61" s="15" t="n"/>
      <c r="E61" s="15" t="n"/>
      <c r="F61" s="15" t="n"/>
      <c r="G61" s="15" t="n"/>
      <c r="H61" s="15" t="n"/>
      <c r="I61" s="15" t="n"/>
      <c r="J61" s="15" t="n"/>
      <c r="K61" s="15" t="n"/>
      <c r="L61" s="15" t="n"/>
      <c r="M61" s="15" t="n"/>
      <c r="N61" s="15" t="n"/>
      <c r="O61" s="15" t="n"/>
    </row>
    <row r="62">
      <c r="A62" s="15" t="n"/>
      <c r="B62" s="15" t="n"/>
      <c r="C62" s="15" t="n"/>
      <c r="D62" s="15" t="n"/>
      <c r="E62" s="15" t="n"/>
      <c r="F62" s="15" t="n"/>
      <c r="G62" s="15" t="n"/>
      <c r="H62" s="15" t="n"/>
      <c r="I62" s="15" t="n"/>
      <c r="J62" s="15" t="n"/>
      <c r="K62" s="15" t="n"/>
      <c r="L62" s="15" t="n"/>
      <c r="M62" s="15" t="n"/>
      <c r="N62" s="15" t="n"/>
      <c r="O62" s="15" t="n"/>
    </row>
    <row r="63">
      <c r="A63" s="15" t="n"/>
      <c r="B63" s="15" t="n"/>
      <c r="C63" s="15" t="n"/>
      <c r="D63" s="15" t="n"/>
      <c r="E63" s="15" t="n"/>
      <c r="F63" s="15" t="n"/>
      <c r="G63" s="15" t="n"/>
      <c r="H63" s="15" t="n"/>
      <c r="I63" s="15" t="n"/>
      <c r="J63" s="15" t="n"/>
      <c r="K63" s="15" t="n"/>
      <c r="L63" s="15" t="n"/>
      <c r="M63" s="15" t="n"/>
      <c r="N63" s="15" t="n"/>
      <c r="O63" s="15" t="n"/>
    </row>
    <row r="64">
      <c r="A64" s="15" t="n"/>
      <c r="B64" s="15" t="n"/>
      <c r="C64" s="15" t="n"/>
      <c r="D64" s="15" t="n"/>
      <c r="E64" s="15" t="n"/>
      <c r="F64" s="15" t="n"/>
      <c r="G64" s="15" t="n"/>
      <c r="H64" s="15" t="n"/>
      <c r="I64" s="15" t="n"/>
      <c r="J64" s="15" t="n"/>
      <c r="K64" s="15" t="n"/>
      <c r="L64" s="15" t="n"/>
      <c r="M64" s="15" t="n"/>
      <c r="N64" s="15" t="n"/>
      <c r="O64" s="15" t="n"/>
    </row>
    <row r="65">
      <c r="A65" s="15" t="n"/>
      <c r="B65" s="15" t="n"/>
      <c r="C65" s="15" t="n"/>
      <c r="D65" s="15" t="n"/>
      <c r="E65" s="15" t="n"/>
      <c r="F65" s="15" t="n"/>
      <c r="G65" s="15" t="n"/>
      <c r="H65" s="15" t="n"/>
      <c r="I65" s="15" t="n"/>
      <c r="J65" s="15" t="n"/>
      <c r="K65" s="15" t="n"/>
      <c r="L65" s="15" t="n"/>
      <c r="M65" s="15" t="n"/>
      <c r="N65" s="15" t="n"/>
      <c r="O65" s="15" t="n"/>
    </row>
    <row r="66">
      <c r="A66" s="15" t="n"/>
      <c r="B66" s="15" t="n"/>
      <c r="C66" s="15" t="n"/>
      <c r="D66" s="15" t="n"/>
      <c r="E66" s="15" t="n"/>
      <c r="F66" s="15" t="n"/>
      <c r="G66" s="15" t="n"/>
      <c r="H66" s="15" t="n"/>
      <c r="I66" s="15" t="n"/>
      <c r="J66" s="15" t="n"/>
      <c r="K66" s="15" t="n"/>
      <c r="L66" s="15" t="n"/>
      <c r="M66" s="15" t="n"/>
      <c r="N66" s="15" t="n"/>
      <c r="O66" s="15" t="n"/>
    </row>
    <row r="67">
      <c r="A67" s="15" t="n"/>
      <c r="B67" s="15" t="n"/>
      <c r="C67" s="15" t="n"/>
      <c r="D67" s="15" t="n"/>
      <c r="E67" s="15" t="n"/>
      <c r="F67" s="15" t="n"/>
      <c r="G67" s="15" t="n"/>
      <c r="H67" s="15" t="n"/>
      <c r="I67" s="15" t="n"/>
      <c r="J67" s="15" t="n"/>
      <c r="K67" s="15" t="n"/>
      <c r="L67" s="15" t="n"/>
      <c r="M67" s="15" t="n"/>
      <c r="N67" s="15" t="n"/>
      <c r="O67" s="15" t="n"/>
    </row>
    <row r="68">
      <c r="A68" s="15" t="n"/>
      <c r="B68" s="15" t="n"/>
      <c r="C68" s="15" t="n"/>
      <c r="D68" s="15" t="n"/>
      <c r="E68" s="15" t="n"/>
      <c r="F68" s="15" t="n"/>
      <c r="G68" s="15" t="n"/>
      <c r="H68" s="15" t="n"/>
      <c r="I68" s="15" t="n"/>
      <c r="J68" s="15" t="n"/>
      <c r="K68" s="15" t="n"/>
      <c r="L68" s="15" t="n"/>
      <c r="M68" s="15" t="n"/>
      <c r="N68" s="15" t="n"/>
      <c r="O68" s="15" t="n"/>
    </row>
    <row r="69">
      <c r="A69" s="15" t="n"/>
      <c r="B69" s="15" t="n"/>
      <c r="C69" s="15" t="n"/>
      <c r="D69" s="15" t="n"/>
      <c r="E69" s="15" t="n"/>
      <c r="F69" s="15" t="n"/>
      <c r="G69" s="15" t="n"/>
      <c r="H69" s="15" t="n"/>
      <c r="I69" s="15" t="n"/>
      <c r="J69" s="15" t="n"/>
      <c r="K69" s="15" t="n"/>
      <c r="L69" s="15" t="n"/>
      <c r="M69" s="15" t="n"/>
      <c r="N69" s="15" t="n"/>
      <c r="O69" s="15" t="n"/>
    </row>
    <row r="70">
      <c r="A70" s="15" t="n"/>
      <c r="B70" s="15" t="n"/>
      <c r="C70" s="15" t="n"/>
      <c r="D70" s="15" t="n"/>
      <c r="E70" s="15" t="n"/>
      <c r="F70" s="15" t="n"/>
      <c r="G70" s="15" t="n"/>
      <c r="H70" s="15" t="n"/>
      <c r="I70" s="15" t="n"/>
      <c r="J70" s="15" t="n"/>
      <c r="K70" s="15" t="n"/>
      <c r="L70" s="15" t="n"/>
      <c r="M70" s="15" t="n"/>
      <c r="N70" s="15" t="n"/>
      <c r="O70" s="15" t="n"/>
    </row>
    <row r="71">
      <c r="A71" s="15" t="n"/>
      <c r="B71" s="15" t="n"/>
      <c r="C71" s="15" t="n"/>
      <c r="D71" s="15" t="n"/>
      <c r="E71" s="15" t="n"/>
      <c r="F71" s="15" t="n"/>
      <c r="G71" s="15" t="n"/>
      <c r="H71" s="15" t="n"/>
      <c r="I71" s="15" t="n"/>
      <c r="J71" s="15" t="n"/>
      <c r="K71" s="15" t="n"/>
      <c r="L71" s="15" t="n"/>
      <c r="M71" s="15" t="n"/>
      <c r="N71" s="15" t="n"/>
      <c r="O71" s="15" t="n"/>
    </row>
    <row r="72">
      <c r="A72" s="15" t="n"/>
      <c r="B72" s="15" t="n"/>
      <c r="C72" s="15" t="n"/>
      <c r="D72" s="15" t="n"/>
      <c r="E72" s="15" t="n"/>
      <c r="F72" s="15" t="n"/>
      <c r="G72" s="15" t="n"/>
      <c r="H72" s="15" t="n"/>
      <c r="I72" s="15" t="n"/>
      <c r="J72" s="15" t="n"/>
      <c r="K72" s="15" t="n"/>
      <c r="L72" s="15" t="n"/>
      <c r="M72" s="15" t="n"/>
      <c r="N72" s="15" t="n"/>
      <c r="O72" s="15" t="n"/>
    </row>
    <row r="73">
      <c r="A73" s="15" t="n"/>
      <c r="B73" s="15" t="n"/>
      <c r="C73" s="15" t="n"/>
      <c r="D73" s="15" t="n"/>
      <c r="E73" s="15" t="n"/>
      <c r="F73" s="15" t="n"/>
      <c r="G73" s="15" t="n"/>
      <c r="H73" s="15" t="n"/>
      <c r="I73" s="15" t="n"/>
      <c r="J73" s="15" t="n"/>
      <c r="K73" s="15" t="n"/>
      <c r="L73" s="15" t="n"/>
      <c r="M73" s="15" t="n"/>
      <c r="N73" s="15" t="n"/>
      <c r="O73" s="15" t="n"/>
    </row>
    <row r="74">
      <c r="A74" s="15" t="n"/>
      <c r="B74" s="15" t="n"/>
      <c r="C74" s="15" t="n"/>
      <c r="D74" s="15" t="n"/>
      <c r="E74" s="15" t="n"/>
      <c r="F74" s="15" t="n"/>
      <c r="G74" s="15" t="n"/>
      <c r="H74" s="15" t="n"/>
      <c r="I74" s="15" t="n"/>
      <c r="J74" s="15" t="n"/>
      <c r="K74" s="15" t="n"/>
      <c r="L74" s="15" t="n"/>
      <c r="M74" s="15" t="n"/>
      <c r="N74" s="15" t="n"/>
      <c r="O74" s="15" t="n"/>
    </row>
    <row r="75">
      <c r="A75" s="15" t="n"/>
      <c r="B75" s="15" t="n"/>
      <c r="C75" s="15" t="n"/>
      <c r="D75" s="15" t="n"/>
      <c r="E75" s="15" t="n"/>
      <c r="F75" s="15" t="n"/>
      <c r="G75" s="15" t="n"/>
      <c r="H75" s="15" t="n"/>
      <c r="I75" s="15" t="n"/>
      <c r="J75" s="15" t="n"/>
      <c r="K75" s="15" t="n"/>
      <c r="L75" s="15" t="n"/>
      <c r="M75" s="15" t="n"/>
      <c r="N75" s="15" t="n"/>
      <c r="O75" s="15" t="n"/>
    </row>
    <row r="76">
      <c r="A76" s="15" t="n"/>
      <c r="B76" s="15" t="n"/>
      <c r="C76" s="15" t="n"/>
      <c r="D76" s="15" t="n"/>
      <c r="E76" s="15" t="n"/>
      <c r="F76" s="15" t="n"/>
      <c r="G76" s="15" t="n"/>
      <c r="H76" s="15" t="n"/>
      <c r="I76" s="15" t="n"/>
      <c r="J76" s="15" t="n"/>
      <c r="K76" s="15" t="n"/>
      <c r="L76" s="15" t="n"/>
      <c r="M76" s="15" t="n"/>
      <c r="N76" s="15" t="n"/>
      <c r="O76" s="15" t="n"/>
    </row>
    <row r="77">
      <c r="A77" s="15" t="n"/>
      <c r="B77" s="15" t="n"/>
      <c r="C77" s="15" t="n"/>
      <c r="D77" s="15" t="n"/>
      <c r="E77" s="15" t="n"/>
      <c r="F77" s="15" t="n"/>
      <c r="G77" s="15" t="n"/>
      <c r="H77" s="15" t="n"/>
      <c r="I77" s="15" t="n"/>
      <c r="J77" s="15" t="n"/>
      <c r="K77" s="15" t="n"/>
      <c r="L77" s="15" t="n"/>
      <c r="M77" s="15" t="n"/>
      <c r="N77" s="15" t="n"/>
      <c r="O77" s="15" t="n"/>
    </row>
    <row r="78">
      <c r="A78" s="15" t="n"/>
      <c r="B78" s="15" t="n"/>
      <c r="C78" s="15" t="n"/>
      <c r="D78" s="15" t="n"/>
      <c r="E78" s="15" t="n"/>
      <c r="F78" s="15" t="n"/>
      <c r="G78" s="15" t="n"/>
      <c r="H78" s="15" t="n"/>
      <c r="I78" s="15" t="n"/>
      <c r="J78" s="15" t="n"/>
      <c r="K78" s="15" t="n"/>
      <c r="L78" s="15" t="n"/>
      <c r="M78" s="15" t="n"/>
      <c r="N78" s="15" t="n"/>
      <c r="O78" s="15" t="n"/>
    </row>
    <row r="79">
      <c r="A79" s="15" t="n"/>
      <c r="B79" s="15" t="n"/>
      <c r="C79" s="15" t="n"/>
      <c r="D79" s="15" t="n"/>
      <c r="E79" s="15" t="n"/>
      <c r="F79" s="15" t="n"/>
      <c r="G79" s="15" t="n"/>
      <c r="H79" s="15" t="n"/>
      <c r="I79" s="15" t="n"/>
      <c r="J79" s="15" t="n"/>
      <c r="K79" s="15" t="n"/>
      <c r="L79" s="15" t="n"/>
      <c r="M79" s="15" t="n"/>
      <c r="N79" s="15" t="n"/>
      <c r="O79" s="15" t="n"/>
    </row>
    <row r="80">
      <c r="A80" s="15" t="n"/>
      <c r="B80" s="15" t="n"/>
      <c r="C80" s="15" t="n"/>
      <c r="D80" s="15" t="n"/>
      <c r="E80" s="15" t="n"/>
      <c r="F80" s="15" t="n"/>
      <c r="G80" s="15" t="n"/>
      <c r="H80" s="15" t="n"/>
      <c r="I80" s="15" t="n"/>
      <c r="J80" s="15" t="n"/>
      <c r="K80" s="15" t="n"/>
      <c r="L80" s="15" t="n"/>
      <c r="M80" s="15" t="n"/>
      <c r="N80" s="15" t="n"/>
      <c r="O80" s="15" t="n"/>
    </row>
    <row r="81">
      <c r="A81" s="15" t="n"/>
      <c r="B81" s="15" t="n"/>
      <c r="C81" s="15" t="n"/>
      <c r="D81" s="15" t="n"/>
      <c r="E81" s="15" t="n"/>
      <c r="F81" s="15" t="n"/>
      <c r="G81" s="15" t="n"/>
      <c r="H81" s="15" t="n"/>
      <c r="I81" s="15" t="n"/>
      <c r="J81" s="15" t="n"/>
      <c r="K81" s="15" t="n"/>
      <c r="L81" s="15" t="n"/>
      <c r="M81" s="15" t="n"/>
      <c r="N81" s="15" t="n"/>
      <c r="O81" s="15" t="n"/>
    </row>
    <row r="82">
      <c r="A82" s="15" t="n"/>
      <c r="B82" s="15" t="n"/>
      <c r="C82" s="15" t="n"/>
      <c r="D82" s="15" t="n"/>
      <c r="E82" s="15" t="n"/>
      <c r="F82" s="15" t="n"/>
      <c r="G82" s="15" t="n"/>
      <c r="H82" s="15" t="n"/>
      <c r="I82" s="15" t="n"/>
      <c r="J82" s="15" t="n"/>
      <c r="K82" s="15" t="n"/>
      <c r="L82" s="15" t="n"/>
      <c r="M82" s="15" t="n"/>
      <c r="N82" s="15" t="n"/>
      <c r="O82" s="15" t="n"/>
    </row>
    <row r="83">
      <c r="A83" s="15" t="n"/>
      <c r="B83" s="15" t="n"/>
      <c r="C83" s="15" t="n"/>
      <c r="D83" s="15" t="n"/>
      <c r="E83" s="15" t="n"/>
      <c r="F83" s="15" t="n"/>
      <c r="G83" s="15" t="n"/>
      <c r="H83" s="15" t="n"/>
      <c r="I83" s="15" t="n"/>
      <c r="J83" s="15" t="n"/>
      <c r="K83" s="15" t="n"/>
      <c r="L83" s="15" t="n"/>
      <c r="M83" s="15" t="n"/>
      <c r="N83" s="15" t="n"/>
      <c r="O83" s="15" t="n"/>
    </row>
    <row r="84">
      <c r="A84" s="15" t="n"/>
      <c r="B84" s="15" t="n"/>
      <c r="C84" s="15" t="n"/>
      <c r="D84" s="15" t="n"/>
      <c r="E84" s="15" t="n"/>
      <c r="F84" s="15" t="n"/>
      <c r="G84" s="15" t="n"/>
      <c r="H84" s="15" t="n"/>
      <c r="I84" s="15" t="n"/>
      <c r="J84" s="15" t="n"/>
      <c r="K84" s="15" t="n"/>
      <c r="L84" s="15" t="n"/>
      <c r="M84" s="15" t="n"/>
      <c r="N84" s="15" t="n"/>
      <c r="O84" s="15" t="n"/>
    </row>
    <row r="85">
      <c r="A85" s="15" t="n"/>
      <c r="B85" s="15" t="n"/>
      <c r="C85" s="15" t="n"/>
      <c r="D85" s="15" t="n"/>
      <c r="E85" s="15" t="n"/>
      <c r="F85" s="15" t="n"/>
      <c r="G85" s="15" t="n"/>
      <c r="H85" s="15" t="n"/>
      <c r="I85" s="15" t="n"/>
      <c r="J85" s="15" t="n"/>
      <c r="K85" s="15" t="n"/>
      <c r="L85" s="15" t="n"/>
      <c r="M85" s="15" t="n"/>
      <c r="N85" s="15" t="n"/>
      <c r="O85" s="15" t="n"/>
    </row>
    <row r="86">
      <c r="A86" s="15" t="n"/>
      <c r="B86" s="15" t="n"/>
      <c r="C86" s="15" t="n"/>
      <c r="D86" s="15" t="n"/>
      <c r="E86" s="15" t="n"/>
      <c r="F86" s="15" t="n"/>
      <c r="G86" s="15" t="n"/>
      <c r="H86" s="15" t="n"/>
      <c r="I86" s="15" t="n"/>
      <c r="J86" s="15" t="n"/>
      <c r="K86" s="15" t="n"/>
      <c r="L86" s="15" t="n"/>
      <c r="M86" s="15" t="n"/>
      <c r="N86" s="15" t="n"/>
      <c r="O86" s="15" t="n"/>
    </row>
    <row r="87">
      <c r="A87" s="15" t="n"/>
      <c r="B87" s="15" t="n"/>
      <c r="C87" s="15" t="n"/>
      <c r="D87" s="15" t="n"/>
      <c r="E87" s="15" t="n"/>
      <c r="F87" s="15" t="n"/>
      <c r="G87" s="15" t="n"/>
      <c r="H87" s="15" t="n"/>
      <c r="I87" s="15" t="n"/>
      <c r="J87" s="15" t="n"/>
      <c r="K87" s="15" t="n"/>
      <c r="L87" s="15" t="n"/>
      <c r="M87" s="15" t="n"/>
      <c r="N87" s="15" t="n"/>
      <c r="O87" s="15" t="n"/>
    </row>
    <row r="88">
      <c r="A88" s="15" t="n"/>
      <c r="B88" s="15" t="n"/>
      <c r="C88" s="15" t="n"/>
      <c r="D88" s="15" t="n"/>
      <c r="E88" s="15" t="n"/>
      <c r="F88" s="15" t="n"/>
      <c r="G88" s="15" t="n"/>
      <c r="H88" s="15" t="n"/>
      <c r="I88" s="15" t="n"/>
      <c r="J88" s="15" t="n"/>
      <c r="K88" s="15" t="n"/>
      <c r="L88" s="15" t="n"/>
      <c r="M88" s="15" t="n"/>
      <c r="N88" s="15" t="n"/>
      <c r="O88" s="15" t="n"/>
    </row>
    <row r="89">
      <c r="A89" s="15" t="n"/>
      <c r="B89" s="15" t="n"/>
      <c r="C89" s="15" t="n"/>
      <c r="D89" s="15" t="n"/>
      <c r="E89" s="15" t="n"/>
      <c r="F89" s="15" t="n"/>
      <c r="G89" s="15" t="n"/>
      <c r="H89" s="15" t="n"/>
      <c r="I89" s="15" t="n"/>
      <c r="J89" s="15" t="n"/>
      <c r="K89" s="15" t="n"/>
      <c r="L89" s="15" t="n"/>
      <c r="M89" s="15" t="n"/>
      <c r="N89" s="15" t="n"/>
      <c r="O89" s="15" t="n"/>
    </row>
    <row r="90">
      <c r="A90" s="15" t="n"/>
      <c r="B90" s="15" t="n"/>
      <c r="C90" s="15" t="n"/>
      <c r="D90" s="15" t="n"/>
      <c r="E90" s="15" t="n"/>
      <c r="F90" s="15" t="n"/>
      <c r="G90" s="15" t="n"/>
      <c r="H90" s="15" t="n"/>
      <c r="I90" s="15" t="n"/>
      <c r="J90" s="15" t="n"/>
      <c r="K90" s="15" t="n"/>
      <c r="L90" s="15" t="n"/>
      <c r="M90" s="15" t="n"/>
      <c r="N90" s="15" t="n"/>
      <c r="O90" s="15" t="n"/>
    </row>
    <row r="91">
      <c r="A91" s="15" t="n"/>
      <c r="B91" s="15" t="n"/>
      <c r="C91" s="15" t="n"/>
      <c r="D91" s="15" t="n"/>
      <c r="E91" s="15" t="n"/>
      <c r="F91" s="15" t="n"/>
      <c r="G91" s="15" t="n"/>
      <c r="H91" s="15" t="n"/>
      <c r="I91" s="15" t="n"/>
      <c r="J91" s="15" t="n"/>
      <c r="K91" s="15" t="n"/>
      <c r="L91" s="15" t="n"/>
      <c r="M91" s="15" t="n"/>
      <c r="N91" s="15" t="n"/>
      <c r="O91" s="15" t="n"/>
    </row>
    <row r="92">
      <c r="A92" s="15" t="n"/>
      <c r="B92" s="15" t="n"/>
      <c r="C92" s="15" t="n"/>
      <c r="D92" s="15" t="n"/>
      <c r="E92" s="15" t="n"/>
      <c r="F92" s="15" t="n"/>
      <c r="G92" s="15" t="n"/>
      <c r="H92" s="15" t="n"/>
      <c r="I92" s="15" t="n"/>
      <c r="J92" s="15" t="n"/>
      <c r="K92" s="15" t="n"/>
      <c r="L92" s="15" t="n"/>
      <c r="M92" s="15" t="n"/>
      <c r="N92" s="15" t="n"/>
      <c r="O92" s="15" t="n"/>
    </row>
    <row r="93">
      <c r="A93" s="15" t="n"/>
      <c r="B93" s="15" t="n"/>
      <c r="C93" s="15" t="n"/>
      <c r="D93" s="15" t="n"/>
      <c r="E93" s="15" t="n"/>
      <c r="F93" s="15" t="n"/>
      <c r="G93" s="15" t="n"/>
      <c r="H93" s="15" t="n"/>
      <c r="I93" s="15" t="n"/>
      <c r="J93" s="15" t="n"/>
      <c r="K93" s="15" t="n"/>
      <c r="L93" s="15" t="n"/>
      <c r="M93" s="15" t="n"/>
      <c r="N93" s="15" t="n"/>
      <c r="O93" s="15" t="n"/>
    </row>
    <row r="94">
      <c r="A94" s="15" t="n"/>
      <c r="B94" s="15" t="n"/>
      <c r="C94" s="15" t="n"/>
      <c r="D94" s="15" t="n"/>
      <c r="E94" s="15" t="n"/>
      <c r="F94" s="15" t="n"/>
      <c r="G94" s="15" t="n"/>
      <c r="H94" s="15" t="n"/>
      <c r="I94" s="15" t="n"/>
      <c r="J94" s="15" t="n"/>
      <c r="K94" s="15" t="n"/>
      <c r="L94" s="15" t="n"/>
      <c r="M94" s="15" t="n"/>
      <c r="N94" s="15" t="n"/>
      <c r="O94" s="15" t="n"/>
    </row>
    <row r="95">
      <c r="A95" s="15" t="n"/>
      <c r="B95" s="15" t="n"/>
      <c r="C95" s="15" t="n"/>
      <c r="D95" s="15" t="n"/>
      <c r="E95" s="15" t="n"/>
      <c r="F95" s="15" t="n"/>
      <c r="G95" s="15" t="n"/>
      <c r="H95" s="15" t="n"/>
      <c r="I95" s="15" t="n"/>
      <c r="J95" s="15" t="n"/>
      <c r="K95" s="15" t="n"/>
      <c r="L95" s="15" t="n"/>
      <c r="M95" s="15" t="n"/>
      <c r="N95" s="15" t="n"/>
      <c r="O95" s="15" t="n"/>
    </row>
    <row r="96">
      <c r="A96" s="15" t="n"/>
      <c r="B96" s="15" t="n"/>
      <c r="C96" s="15" t="n"/>
      <c r="D96" s="15" t="n"/>
      <c r="E96" s="15" t="n"/>
      <c r="F96" s="15" t="n"/>
      <c r="G96" s="15" t="n"/>
      <c r="H96" s="15" t="n"/>
      <c r="I96" s="15" t="n"/>
      <c r="J96" s="15" t="n"/>
      <c r="K96" s="15" t="n"/>
      <c r="L96" s="15" t="n"/>
      <c r="M96" s="15" t="n"/>
      <c r="N96" s="15" t="n"/>
      <c r="O96" s="15" t="n"/>
    </row>
    <row r="97">
      <c r="A97" s="15" t="n"/>
      <c r="B97" s="15" t="n"/>
      <c r="C97" s="15" t="n"/>
      <c r="D97" s="15" t="n"/>
      <c r="E97" s="15" t="n"/>
      <c r="F97" s="15" t="n"/>
      <c r="G97" s="15" t="n"/>
      <c r="H97" s="15" t="n"/>
      <c r="I97" s="15" t="n"/>
      <c r="J97" s="15" t="n"/>
      <c r="K97" s="15" t="n"/>
      <c r="L97" s="15" t="n"/>
      <c r="M97" s="15" t="n"/>
      <c r="N97" s="15" t="n"/>
      <c r="O97" s="15" t="n"/>
    </row>
    <row r="98">
      <c r="A98" s="15" t="n"/>
      <c r="B98" s="15" t="n"/>
      <c r="C98" s="15" t="n"/>
      <c r="D98" s="15" t="n"/>
      <c r="E98" s="15" t="n"/>
      <c r="F98" s="15" t="n"/>
      <c r="G98" s="15" t="n"/>
      <c r="H98" s="15" t="n"/>
      <c r="I98" s="15" t="n"/>
      <c r="J98" s="15" t="n"/>
      <c r="K98" s="15" t="n"/>
      <c r="L98" s="15" t="n"/>
      <c r="M98" s="15" t="n"/>
      <c r="N98" s="15" t="n"/>
      <c r="O98" s="15" t="n"/>
    </row>
    <row r="99">
      <c r="A99" s="15" t="n"/>
      <c r="B99" s="15" t="n"/>
      <c r="C99" s="15" t="n"/>
      <c r="D99" s="15" t="n"/>
      <c r="E99" s="15" t="n"/>
      <c r="F99" s="15" t="n"/>
      <c r="G99" s="15" t="n"/>
      <c r="H99" s="15" t="n"/>
      <c r="I99" s="15" t="n"/>
      <c r="J99" s="15" t="n"/>
      <c r="K99" s="15" t="n"/>
      <c r="L99" s="15" t="n"/>
      <c r="M99" s="15" t="n"/>
      <c r="N99" s="15" t="n"/>
      <c r="O99" s="15" t="n"/>
    </row>
    <row r="100">
      <c r="A100" s="15" t="n"/>
      <c r="B100" s="15" t="n"/>
      <c r="C100" s="15" t="n"/>
      <c r="D100" s="15" t="n"/>
      <c r="E100" s="15" t="n"/>
      <c r="F100" s="15" t="n"/>
      <c r="G100" s="15" t="n"/>
      <c r="H100" s="15" t="n"/>
      <c r="I100" s="15" t="n"/>
      <c r="J100" s="15" t="n"/>
      <c r="K100" s="15" t="n"/>
      <c r="L100" s="15" t="n"/>
      <c r="M100" s="15" t="n"/>
      <c r="N100" s="15" t="n"/>
      <c r="O100" s="15" t="n"/>
    </row>
    <row r="101">
      <c r="A101" s="15" t="n"/>
      <c r="B101" s="15" t="n"/>
      <c r="C101" s="15" t="n"/>
      <c r="D101" s="15" t="n"/>
      <c r="E101" s="15" t="n"/>
      <c r="F101" s="15" t="n"/>
      <c r="G101" s="15" t="n"/>
      <c r="H101" s="15" t="n"/>
      <c r="I101" s="15" t="n"/>
      <c r="J101" s="15" t="n"/>
      <c r="K101" s="15" t="n"/>
      <c r="L101" s="15" t="n"/>
      <c r="M101" s="15" t="n"/>
      <c r="N101" s="15" t="n"/>
      <c r="O101" s="15" t="n"/>
    </row>
    <row r="102">
      <c r="A102" s="15" t="n"/>
      <c r="B102" s="15" t="n"/>
      <c r="C102" s="15" t="n"/>
      <c r="D102" s="15" t="n"/>
      <c r="E102" s="15" t="n"/>
      <c r="F102" s="15" t="n"/>
      <c r="G102" s="15" t="n"/>
      <c r="H102" s="15" t="n"/>
      <c r="I102" s="15" t="n"/>
      <c r="J102" s="15" t="n"/>
      <c r="K102" s="15" t="n"/>
      <c r="L102" s="15" t="n"/>
      <c r="M102" s="15" t="n"/>
      <c r="N102" s="15" t="n"/>
      <c r="O102" s="15" t="n"/>
    </row>
    <row r="103">
      <c r="A103" s="15" t="n"/>
      <c r="B103" s="15" t="n"/>
      <c r="C103" s="15" t="n"/>
      <c r="D103" s="15" t="n"/>
      <c r="E103" s="15" t="n"/>
      <c r="F103" s="15" t="n"/>
      <c r="G103" s="15" t="n"/>
      <c r="H103" s="15" t="n"/>
      <c r="I103" s="15" t="n"/>
      <c r="J103" s="15" t="n"/>
      <c r="K103" s="15" t="n"/>
      <c r="L103" s="15" t="n"/>
      <c r="M103" s="15" t="n"/>
      <c r="N103" s="15" t="n"/>
      <c r="O103" s="15" t="n"/>
    </row>
    <row r="104">
      <c r="A104" s="15" t="n"/>
      <c r="B104" s="15" t="n"/>
      <c r="C104" s="15" t="n"/>
      <c r="D104" s="15" t="n"/>
      <c r="E104" s="15" t="n"/>
      <c r="F104" s="15" t="n"/>
      <c r="G104" s="15" t="n"/>
      <c r="H104" s="15" t="n"/>
      <c r="I104" s="15" t="n"/>
      <c r="J104" s="15" t="n"/>
      <c r="K104" s="15" t="n"/>
      <c r="L104" s="15" t="n"/>
      <c r="M104" s="15" t="n"/>
      <c r="N104" s="15" t="n"/>
      <c r="O104" s="15" t="n"/>
    </row>
    <row r="105">
      <c r="A105" s="15" t="n"/>
      <c r="B105" s="15" t="n"/>
      <c r="C105" s="15" t="n"/>
      <c r="D105" s="15" t="n"/>
      <c r="E105" s="15" t="n"/>
      <c r="F105" s="15" t="n"/>
      <c r="G105" s="15" t="n"/>
      <c r="H105" s="15" t="n"/>
      <c r="I105" s="15" t="n"/>
      <c r="J105" s="15" t="n"/>
      <c r="K105" s="15" t="n"/>
      <c r="L105" s="15" t="n"/>
      <c r="M105" s="15" t="n"/>
      <c r="N105" s="15" t="n"/>
      <c r="O105" s="15" t="n"/>
    </row>
    <row r="106">
      <c r="A106" s="15" t="n"/>
      <c r="B106" s="15" t="n"/>
      <c r="C106" s="15" t="n"/>
      <c r="D106" s="15" t="n"/>
      <c r="E106" s="15" t="n"/>
      <c r="F106" s="15" t="n"/>
      <c r="G106" s="15" t="n"/>
      <c r="H106" s="15" t="n"/>
      <c r="I106" s="15" t="n"/>
      <c r="J106" s="15" t="n"/>
      <c r="K106" s="15" t="n"/>
      <c r="L106" s="15" t="n"/>
      <c r="M106" s="15" t="n"/>
      <c r="N106" s="15" t="n"/>
      <c r="O106" s="15" t="n"/>
    </row>
    <row r="107">
      <c r="A107" s="15" t="n"/>
      <c r="B107" s="15" t="n"/>
      <c r="C107" s="15" t="n"/>
      <c r="D107" s="15" t="n"/>
      <c r="E107" s="15" t="n"/>
      <c r="F107" s="15" t="n"/>
      <c r="G107" s="15" t="n"/>
      <c r="H107" s="15" t="n"/>
      <c r="I107" s="15" t="n"/>
      <c r="J107" s="15" t="n"/>
      <c r="K107" s="15" t="n"/>
      <c r="L107" s="15" t="n"/>
      <c r="M107" s="15" t="n"/>
      <c r="N107" s="15" t="n"/>
      <c r="O107" s="15" t="n"/>
    </row>
    <row r="108">
      <c r="A108" s="15" t="n"/>
      <c r="B108" s="15" t="n"/>
      <c r="C108" s="15" t="n"/>
      <c r="D108" s="15" t="n"/>
      <c r="E108" s="15" t="n"/>
      <c r="F108" s="15" t="n"/>
      <c r="G108" s="15" t="n"/>
      <c r="H108" s="15" t="n"/>
      <c r="I108" s="15" t="n"/>
      <c r="J108" s="15" t="n"/>
      <c r="K108" s="15" t="n"/>
      <c r="L108" s="15" t="n"/>
      <c r="M108" s="15" t="n"/>
      <c r="N108" s="15" t="n"/>
      <c r="O108" s="15" t="n"/>
    </row>
    <row r="109">
      <c r="A109" s="15" t="n"/>
      <c r="B109" s="15" t="n"/>
      <c r="C109" s="15" t="n"/>
      <c r="D109" s="15" t="n"/>
      <c r="E109" s="15" t="n"/>
      <c r="F109" s="15" t="n"/>
      <c r="G109" s="15" t="n"/>
      <c r="H109" s="15" t="n"/>
      <c r="I109" s="15" t="n"/>
      <c r="J109" s="15" t="n"/>
      <c r="K109" s="15" t="n"/>
      <c r="L109" s="15" t="n"/>
      <c r="M109" s="15" t="n"/>
      <c r="N109" s="15" t="n"/>
      <c r="O109" s="15" t="n"/>
    </row>
    <row r="110">
      <c r="A110" s="15" t="n"/>
      <c r="B110" s="15" t="n"/>
      <c r="C110" s="15" t="n"/>
      <c r="D110" s="15" t="n"/>
      <c r="E110" s="15" t="n"/>
      <c r="F110" s="15" t="n"/>
      <c r="G110" s="15" t="n"/>
      <c r="H110" s="15" t="n"/>
      <c r="I110" s="15" t="n"/>
      <c r="J110" s="15" t="n"/>
      <c r="K110" s="15" t="n"/>
      <c r="L110" s="15" t="n"/>
      <c r="M110" s="15" t="n"/>
      <c r="N110" s="15" t="n"/>
      <c r="O110" s="15" t="n"/>
    </row>
    <row r="111">
      <c r="A111" s="15" t="n"/>
      <c r="B111" s="15" t="n"/>
      <c r="C111" s="15" t="n"/>
      <c r="D111" s="15" t="n"/>
      <c r="E111" s="15" t="n"/>
      <c r="F111" s="15" t="n"/>
      <c r="G111" s="15" t="n"/>
      <c r="H111" s="15" t="n"/>
      <c r="I111" s="15" t="n"/>
      <c r="J111" s="15" t="n"/>
      <c r="K111" s="15" t="n"/>
      <c r="L111" s="15" t="n"/>
      <c r="M111" s="15" t="n"/>
      <c r="N111" s="15" t="n"/>
      <c r="O111" s="15" t="n"/>
    </row>
    <row r="112">
      <c r="A112" s="15" t="n"/>
      <c r="B112" s="15" t="n"/>
      <c r="C112" s="15" t="n"/>
      <c r="D112" s="15" t="n"/>
      <c r="E112" s="15" t="n"/>
      <c r="F112" s="15" t="n"/>
      <c r="G112" s="15" t="n"/>
      <c r="H112" s="15" t="n"/>
      <c r="I112" s="15" t="n"/>
      <c r="J112" s="15" t="n"/>
      <c r="K112" s="15" t="n"/>
      <c r="L112" s="15" t="n"/>
      <c r="M112" s="15" t="n"/>
      <c r="N112" s="15" t="n"/>
      <c r="O112" s="15" t="n"/>
    </row>
    <row r="113">
      <c r="A113" s="15" t="n"/>
      <c r="B113" s="15" t="n"/>
      <c r="C113" s="15" t="n"/>
      <c r="D113" s="15" t="n"/>
      <c r="E113" s="15" t="n"/>
      <c r="F113" s="15" t="n"/>
      <c r="G113" s="15" t="n"/>
      <c r="H113" s="15" t="n"/>
      <c r="I113" s="15" t="n"/>
      <c r="J113" s="15" t="n"/>
      <c r="K113" s="15" t="n"/>
      <c r="L113" s="15" t="n"/>
      <c r="M113" s="15" t="n"/>
      <c r="N113" s="15" t="n"/>
      <c r="O113" s="15" t="n"/>
    </row>
    <row r="114">
      <c r="A114" s="15" t="n"/>
      <c r="B114" s="15" t="n"/>
      <c r="C114" s="15" t="n"/>
      <c r="D114" s="15" t="n"/>
      <c r="E114" s="15" t="n"/>
      <c r="F114" s="15" t="n"/>
      <c r="G114" s="15" t="n"/>
      <c r="H114" s="15" t="n"/>
      <c r="I114" s="15" t="n"/>
      <c r="J114" s="15" t="n"/>
      <c r="K114" s="15" t="n"/>
      <c r="L114" s="15" t="n"/>
      <c r="M114" s="15" t="n"/>
      <c r="N114" s="15" t="n"/>
      <c r="O114" s="15" t="n"/>
    </row>
    <row r="115">
      <c r="A115" s="15" t="n"/>
      <c r="B115" s="15" t="n"/>
      <c r="C115" s="15" t="n"/>
      <c r="D115" s="15" t="n"/>
      <c r="E115" s="15" t="n"/>
      <c r="F115" s="15" t="n"/>
      <c r="G115" s="15" t="n"/>
      <c r="H115" s="15" t="n"/>
      <c r="I115" s="15" t="n"/>
      <c r="J115" s="15" t="n"/>
      <c r="K115" s="15" t="n"/>
      <c r="L115" s="15" t="n"/>
      <c r="M115" s="15" t="n"/>
      <c r="N115" s="15" t="n"/>
      <c r="O115" s="15" t="n"/>
    </row>
    <row r="116">
      <c r="A116" s="15" t="n"/>
      <c r="B116" s="15" t="n"/>
      <c r="C116" s="15" t="n"/>
      <c r="D116" s="15" t="n"/>
      <c r="E116" s="15" t="n"/>
      <c r="F116" s="15" t="n"/>
      <c r="G116" s="15" t="n"/>
      <c r="H116" s="15" t="n"/>
      <c r="I116" s="15" t="n"/>
      <c r="J116" s="15" t="n"/>
      <c r="K116" s="15" t="n"/>
      <c r="L116" s="15" t="n"/>
      <c r="M116" s="15" t="n"/>
      <c r="N116" s="15" t="n"/>
      <c r="O116" s="15" t="n"/>
    </row>
    <row r="117">
      <c r="A117" s="15" t="n"/>
      <c r="B117" s="15" t="n"/>
      <c r="C117" s="15" t="n"/>
      <c r="D117" s="15" t="n"/>
      <c r="E117" s="15" t="n"/>
      <c r="F117" s="15" t="n"/>
      <c r="G117" s="15" t="n"/>
      <c r="H117" s="15" t="n"/>
      <c r="I117" s="15" t="n"/>
      <c r="J117" s="15" t="n"/>
      <c r="K117" s="15" t="n"/>
      <c r="L117" s="15" t="n"/>
      <c r="M117" s="15" t="n"/>
      <c r="N117" s="15" t="n"/>
      <c r="O117" s="15" t="n"/>
    </row>
    <row r="118">
      <c r="A118" s="15" t="n"/>
      <c r="B118" s="15" t="n"/>
      <c r="C118" s="15" t="n"/>
      <c r="D118" s="15" t="n"/>
      <c r="E118" s="15" t="n"/>
      <c r="F118" s="15" t="n"/>
      <c r="G118" s="15" t="n"/>
      <c r="H118" s="15" t="n"/>
      <c r="I118" s="15" t="n"/>
      <c r="J118" s="15" t="n"/>
      <c r="K118" s="15" t="n"/>
      <c r="L118" s="15" t="n"/>
      <c r="M118" s="15" t="n"/>
      <c r="N118" s="15" t="n"/>
      <c r="O118" s="15" t="n"/>
    </row>
    <row r="119">
      <c r="A119" s="15" t="n"/>
      <c r="B119" s="15" t="n"/>
      <c r="C119" s="15" t="n"/>
      <c r="D119" s="15" t="n"/>
      <c r="E119" s="15" t="n"/>
      <c r="F119" s="15" t="n"/>
      <c r="G119" s="15" t="n"/>
      <c r="H119" s="15" t="n"/>
      <c r="I119" s="15" t="n"/>
      <c r="J119" s="15" t="n"/>
      <c r="K119" s="15" t="n"/>
      <c r="L119" s="15" t="n"/>
      <c r="M119" s="15" t="n"/>
      <c r="N119" s="15" t="n"/>
      <c r="O119" s="15" t="n"/>
    </row>
    <row r="120">
      <c r="A120" s="15" t="n"/>
      <c r="B120" s="15" t="n"/>
      <c r="C120" s="15" t="n"/>
      <c r="D120" s="15" t="n"/>
      <c r="E120" s="15" t="n"/>
      <c r="F120" s="15" t="n"/>
      <c r="G120" s="15" t="n"/>
      <c r="H120" s="15" t="n"/>
      <c r="I120" s="15" t="n"/>
      <c r="J120" s="15" t="n"/>
      <c r="K120" s="15" t="n"/>
      <c r="L120" s="15" t="n"/>
      <c r="M120" s="15" t="n"/>
      <c r="N120" s="15" t="n"/>
      <c r="O120" s="15" t="n"/>
    </row>
    <row r="121">
      <c r="A121" s="15" t="n"/>
      <c r="B121" s="15" t="n"/>
      <c r="C121" s="15" t="n"/>
      <c r="D121" s="15" t="n"/>
      <c r="E121" s="15" t="n"/>
      <c r="F121" s="15" t="n"/>
      <c r="G121" s="15" t="n"/>
      <c r="H121" s="15" t="n"/>
      <c r="I121" s="15" t="n"/>
      <c r="J121" s="15" t="n"/>
      <c r="K121" s="15" t="n"/>
      <c r="L121" s="15" t="n"/>
      <c r="M121" s="15" t="n"/>
      <c r="N121" s="15" t="n"/>
      <c r="O121" s="15" t="n"/>
    </row>
    <row r="122">
      <c r="A122" s="15" t="n"/>
      <c r="B122" s="15" t="n"/>
      <c r="C122" s="15" t="n"/>
      <c r="D122" s="15" t="n"/>
      <c r="E122" s="15" t="n"/>
      <c r="F122" s="15" t="n"/>
      <c r="G122" s="15" t="n"/>
      <c r="H122" s="15" t="n"/>
      <c r="I122" s="15" t="n"/>
      <c r="J122" s="15" t="n"/>
      <c r="K122" s="15" t="n"/>
      <c r="L122" s="15" t="n"/>
      <c r="M122" s="15" t="n"/>
      <c r="N122" s="15" t="n"/>
      <c r="O122" s="15" t="n"/>
    </row>
    <row r="123">
      <c r="A123" s="15" t="n"/>
      <c r="B123" s="15" t="n"/>
      <c r="C123" s="15" t="n"/>
      <c r="D123" s="15" t="n"/>
      <c r="E123" s="15" t="n"/>
      <c r="F123" s="15" t="n"/>
      <c r="G123" s="15" t="n"/>
      <c r="H123" s="15" t="n"/>
      <c r="I123" s="15" t="n"/>
      <c r="J123" s="15" t="n"/>
      <c r="K123" s="15" t="n"/>
      <c r="L123" s="15" t="n"/>
      <c r="M123" s="15" t="n"/>
      <c r="N123" s="15" t="n"/>
      <c r="O123" s="15" t="n"/>
    </row>
    <row r="124">
      <c r="A124" s="15" t="n"/>
      <c r="B124" s="15" t="n"/>
      <c r="C124" s="15" t="n"/>
      <c r="D124" s="15" t="n"/>
      <c r="E124" s="15" t="n"/>
      <c r="F124" s="15" t="n"/>
      <c r="G124" s="15" t="n"/>
      <c r="H124" s="15" t="n"/>
      <c r="I124" s="15" t="n"/>
      <c r="J124" s="15" t="n"/>
      <c r="K124" s="15" t="n"/>
      <c r="L124" s="15" t="n"/>
      <c r="M124" s="15" t="n"/>
      <c r="N124" s="15" t="n"/>
      <c r="O124" s="15" t="n"/>
    </row>
    <row r="125">
      <c r="A125" s="15" t="n"/>
      <c r="B125" s="15" t="n"/>
      <c r="C125" s="15" t="n"/>
      <c r="D125" s="15" t="n"/>
      <c r="E125" s="15" t="n"/>
      <c r="F125" s="15" t="n"/>
      <c r="G125" s="15" t="n"/>
      <c r="H125" s="15" t="n"/>
      <c r="I125" s="15" t="n"/>
      <c r="J125" s="15" t="n"/>
      <c r="K125" s="15" t="n"/>
      <c r="L125" s="15" t="n"/>
      <c r="M125" s="15" t="n"/>
      <c r="N125" s="15" t="n"/>
      <c r="O125" s="15" t="n"/>
    </row>
    <row r="126">
      <c r="A126" s="15" t="n"/>
      <c r="B126" s="15" t="n"/>
      <c r="C126" s="15" t="n"/>
      <c r="D126" s="15" t="n"/>
      <c r="E126" s="15" t="n"/>
      <c r="F126" s="15" t="n"/>
      <c r="G126" s="15" t="n"/>
      <c r="H126" s="15" t="n"/>
      <c r="I126" s="15" t="n"/>
      <c r="J126" s="15" t="n"/>
      <c r="K126" s="15" t="n"/>
      <c r="L126" s="15" t="n"/>
      <c r="M126" s="15" t="n"/>
      <c r="N126" s="15" t="n"/>
      <c r="O126" s="15" t="n"/>
    </row>
    <row r="127">
      <c r="A127" s="15" t="n"/>
      <c r="B127" s="15" t="n"/>
      <c r="C127" s="15" t="n"/>
      <c r="D127" s="15" t="n"/>
      <c r="E127" s="15" t="n"/>
      <c r="F127" s="15" t="n"/>
      <c r="G127" s="15" t="n"/>
      <c r="H127" s="15" t="n"/>
      <c r="I127" s="15" t="n"/>
      <c r="J127" s="15" t="n"/>
      <c r="K127" s="15" t="n"/>
      <c r="L127" s="15" t="n"/>
      <c r="M127" s="15" t="n"/>
      <c r="N127" s="15" t="n"/>
      <c r="O127" s="15" t="n"/>
    </row>
    <row r="128">
      <c r="A128" s="15" t="n"/>
      <c r="B128" s="15" t="n"/>
      <c r="C128" s="15" t="n"/>
      <c r="D128" s="15" t="n"/>
      <c r="E128" s="15" t="n"/>
      <c r="F128" s="15" t="n"/>
      <c r="G128" s="15" t="n"/>
      <c r="H128" s="15" t="n"/>
      <c r="I128" s="15" t="n"/>
      <c r="J128" s="15" t="n"/>
      <c r="K128" s="15" t="n"/>
      <c r="L128" s="15" t="n"/>
      <c r="M128" s="15" t="n"/>
      <c r="N128" s="15" t="n"/>
      <c r="O128" s="15" t="n"/>
    </row>
    <row r="129">
      <c r="A129" s="15" t="n"/>
      <c r="B129" s="15" t="n"/>
      <c r="C129" s="15" t="n"/>
      <c r="D129" s="15" t="n"/>
      <c r="E129" s="15" t="n"/>
      <c r="F129" s="15" t="n"/>
      <c r="G129" s="15" t="n"/>
      <c r="H129" s="15" t="n"/>
      <c r="I129" s="15" t="n"/>
      <c r="J129" s="15" t="n"/>
      <c r="K129" s="15" t="n"/>
      <c r="L129" s="15" t="n"/>
      <c r="M129" s="15" t="n"/>
      <c r="N129" s="15" t="n"/>
      <c r="O129" s="15" t="n"/>
    </row>
    <row r="130">
      <c r="A130" s="15" t="n"/>
      <c r="B130" s="15" t="n"/>
      <c r="C130" s="15" t="n"/>
      <c r="D130" s="15" t="n"/>
      <c r="E130" s="15" t="n"/>
      <c r="F130" s="15" t="n"/>
      <c r="G130" s="15" t="n"/>
      <c r="H130" s="15" t="n"/>
      <c r="I130" s="15" t="n"/>
      <c r="J130" s="15" t="n"/>
      <c r="K130" s="15" t="n"/>
      <c r="L130" s="15" t="n"/>
      <c r="M130" s="15" t="n"/>
      <c r="N130" s="15" t="n"/>
      <c r="O130" s="15" t="n"/>
    </row>
    <row r="131">
      <c r="A131" s="15" t="n"/>
      <c r="B131" s="15" t="n"/>
      <c r="C131" s="15" t="n"/>
      <c r="D131" s="15" t="n"/>
      <c r="E131" s="15" t="n"/>
      <c r="F131" s="15" t="n"/>
      <c r="G131" s="15" t="n"/>
      <c r="H131" s="15" t="n"/>
      <c r="I131" s="15" t="n"/>
      <c r="J131" s="15" t="n"/>
      <c r="K131" s="15" t="n"/>
      <c r="L131" s="15" t="n"/>
      <c r="M131" s="15" t="n"/>
      <c r="N131" s="15" t="n"/>
      <c r="O131" s="15" t="n"/>
    </row>
    <row r="132">
      <c r="A132" s="15" t="n"/>
      <c r="B132" s="15" t="n"/>
      <c r="C132" s="15" t="n"/>
      <c r="D132" s="15" t="n"/>
      <c r="E132" s="15" t="n"/>
      <c r="F132" s="15" t="n"/>
      <c r="G132" s="15" t="n"/>
      <c r="H132" s="15" t="n"/>
      <c r="I132" s="15" t="n"/>
      <c r="J132" s="15" t="n"/>
      <c r="K132" s="15" t="n"/>
      <c r="L132" s="15" t="n"/>
      <c r="M132" s="15" t="n"/>
      <c r="N132" s="15" t="n"/>
      <c r="O132" s="15" t="n"/>
    </row>
    <row r="133">
      <c r="A133" s="15" t="n"/>
      <c r="B133" s="15" t="n"/>
      <c r="C133" s="15" t="n"/>
      <c r="D133" s="15" t="n"/>
      <c r="E133" s="15" t="n"/>
      <c r="F133" s="15" t="n"/>
      <c r="G133" s="15" t="n"/>
      <c r="H133" s="15" t="n"/>
      <c r="I133" s="15" t="n"/>
      <c r="J133" s="15" t="n"/>
      <c r="K133" s="15" t="n"/>
      <c r="L133" s="15" t="n"/>
      <c r="M133" s="15" t="n"/>
      <c r="N133" s="15" t="n"/>
      <c r="O133" s="15" t="n"/>
    </row>
    <row r="134">
      <c r="A134" s="15" t="n"/>
      <c r="B134" s="15" t="n"/>
      <c r="C134" s="15" t="n"/>
      <c r="D134" s="15" t="n"/>
      <c r="E134" s="15" t="n"/>
      <c r="F134" s="15" t="n"/>
      <c r="G134" s="15" t="n"/>
      <c r="H134" s="15" t="n"/>
      <c r="I134" s="15" t="n"/>
      <c r="J134" s="15" t="n"/>
      <c r="K134" s="15" t="n"/>
      <c r="L134" s="15" t="n"/>
      <c r="M134" s="15" t="n"/>
      <c r="N134" s="15" t="n"/>
      <c r="O134" s="15" t="n"/>
    </row>
    <row r="135">
      <c r="A135" s="15" t="n"/>
      <c r="B135" s="15" t="n"/>
      <c r="C135" s="15" t="n"/>
      <c r="D135" s="15" t="n"/>
      <c r="E135" s="15" t="n"/>
      <c r="F135" s="15" t="n"/>
      <c r="G135" s="15" t="n"/>
      <c r="H135" s="15" t="n"/>
      <c r="I135" s="15" t="n"/>
      <c r="J135" s="15" t="n"/>
      <c r="K135" s="15" t="n"/>
      <c r="L135" s="15" t="n"/>
      <c r="M135" s="15" t="n"/>
      <c r="N135" s="15" t="n"/>
      <c r="O135" s="15" t="n"/>
    </row>
    <row r="136">
      <c r="A136" s="15" t="n"/>
      <c r="B136" s="15" t="n"/>
      <c r="C136" s="15" t="n"/>
      <c r="D136" s="15" t="n"/>
      <c r="E136" s="15" t="n"/>
      <c r="F136" s="15" t="n"/>
      <c r="G136" s="15" t="n"/>
      <c r="H136" s="15" t="n"/>
      <c r="I136" s="15" t="n"/>
      <c r="J136" s="15" t="n"/>
      <c r="K136" s="15" t="n"/>
      <c r="L136" s="15" t="n"/>
      <c r="M136" s="15" t="n"/>
      <c r="N136" s="15" t="n"/>
      <c r="O136" s="15" t="n"/>
    </row>
    <row r="137">
      <c r="A137" s="15" t="n"/>
      <c r="B137" s="15" t="n"/>
      <c r="C137" s="15" t="n"/>
      <c r="D137" s="15" t="n"/>
      <c r="E137" s="15" t="n"/>
      <c r="F137" s="15" t="n"/>
      <c r="G137" s="15" t="n"/>
      <c r="H137" s="15" t="n"/>
      <c r="I137" s="15" t="n"/>
      <c r="J137" s="15" t="n"/>
      <c r="K137" s="15" t="n"/>
      <c r="L137" s="15" t="n"/>
      <c r="M137" s="15" t="n"/>
      <c r="N137" s="15" t="n"/>
      <c r="O137" s="15" t="n"/>
    </row>
    <row r="138">
      <c r="A138" s="15" t="n"/>
      <c r="B138" s="15" t="n"/>
      <c r="C138" s="15" t="n"/>
      <c r="D138" s="15" t="n"/>
      <c r="E138" s="15" t="n"/>
      <c r="F138" s="15" t="n"/>
      <c r="G138" s="15" t="n"/>
      <c r="H138" s="15" t="n"/>
      <c r="I138" s="15" t="n"/>
      <c r="J138" s="15" t="n"/>
      <c r="K138" s="15" t="n"/>
      <c r="L138" s="15" t="n"/>
      <c r="M138" s="15" t="n"/>
      <c r="N138" s="15" t="n"/>
      <c r="O138" s="15" t="n"/>
    </row>
    <row r="139">
      <c r="A139" s="15" t="n"/>
      <c r="B139" s="15" t="n"/>
      <c r="C139" s="15" t="n"/>
      <c r="D139" s="15" t="n"/>
      <c r="E139" s="15" t="n"/>
      <c r="F139" s="15" t="n"/>
      <c r="G139" s="15" t="n"/>
      <c r="H139" s="15" t="n"/>
      <c r="I139" s="15" t="n"/>
      <c r="J139" s="15" t="n"/>
      <c r="K139" s="15" t="n"/>
      <c r="L139" s="15" t="n"/>
      <c r="M139" s="15" t="n"/>
      <c r="N139" s="15" t="n"/>
      <c r="O139" s="15" t="n"/>
    </row>
    <row r="140">
      <c r="A140" s="15" t="n"/>
      <c r="B140" s="15" t="n"/>
      <c r="C140" s="15" t="n"/>
      <c r="D140" s="15" t="n"/>
      <c r="E140" s="15" t="n"/>
      <c r="F140" s="15" t="n"/>
      <c r="G140" s="15" t="n"/>
      <c r="H140" s="15" t="n"/>
      <c r="I140" s="15" t="n"/>
      <c r="J140" s="15" t="n"/>
      <c r="K140" s="15" t="n"/>
      <c r="L140" s="15" t="n"/>
      <c r="M140" s="15" t="n"/>
      <c r="N140" s="15" t="n"/>
      <c r="O140" s="15" t="n"/>
    </row>
    <row r="141">
      <c r="A141" s="15" t="n"/>
      <c r="B141" s="15" t="n"/>
      <c r="C141" s="15" t="n"/>
      <c r="D141" s="15" t="n"/>
      <c r="E141" s="15" t="n"/>
      <c r="F141" s="15" t="n"/>
      <c r="G141" s="15" t="n"/>
      <c r="H141" s="15" t="n"/>
      <c r="I141" s="15" t="n"/>
      <c r="J141" s="15" t="n"/>
      <c r="K141" s="15" t="n"/>
      <c r="L141" s="15" t="n"/>
      <c r="M141" s="15" t="n"/>
      <c r="N141" s="15" t="n"/>
      <c r="O141" s="15" t="n"/>
    </row>
    <row r="142">
      <c r="A142" s="15" t="n"/>
      <c r="B142" s="15" t="n"/>
      <c r="C142" s="15" t="n"/>
      <c r="D142" s="15" t="n"/>
      <c r="E142" s="15" t="n"/>
      <c r="F142" s="15" t="n"/>
      <c r="G142" s="15" t="n"/>
      <c r="H142" s="15" t="n"/>
      <c r="I142" s="15" t="n"/>
      <c r="J142" s="15" t="n"/>
      <c r="K142" s="15" t="n"/>
      <c r="L142" s="15" t="n"/>
      <c r="M142" s="15" t="n"/>
      <c r="N142" s="15" t="n"/>
      <c r="O142" s="15" t="n"/>
    </row>
    <row r="143">
      <c r="A143" s="15" t="n"/>
      <c r="B143" s="15" t="n"/>
      <c r="C143" s="15" t="n"/>
      <c r="D143" s="15" t="n"/>
      <c r="E143" s="15" t="n"/>
      <c r="F143" s="15" t="n"/>
      <c r="G143" s="15" t="n"/>
      <c r="H143" s="15" t="n"/>
      <c r="I143" s="15" t="n"/>
      <c r="J143" s="15" t="n"/>
      <c r="K143" s="15" t="n"/>
      <c r="L143" s="15" t="n"/>
      <c r="M143" s="15" t="n"/>
      <c r="N143" s="15" t="n"/>
      <c r="O143" s="15" t="n"/>
    </row>
    <row r="144">
      <c r="A144" s="15" t="n"/>
      <c r="B144" s="15" t="n"/>
      <c r="C144" s="15" t="n"/>
      <c r="D144" s="15" t="n"/>
      <c r="E144" s="15" t="n"/>
      <c r="F144" s="15" t="n"/>
      <c r="G144" s="15" t="n"/>
      <c r="H144" s="15" t="n"/>
      <c r="I144" s="15" t="n"/>
      <c r="J144" s="15" t="n"/>
      <c r="K144" s="15" t="n"/>
      <c r="L144" s="15" t="n"/>
      <c r="M144" s="15" t="n"/>
      <c r="N144" s="15" t="n"/>
      <c r="O144" s="15" t="n"/>
    </row>
    <row r="145">
      <c r="A145" s="15" t="n"/>
      <c r="B145" s="15" t="n"/>
      <c r="C145" s="15" t="n"/>
      <c r="D145" s="15" t="n"/>
      <c r="E145" s="15" t="n"/>
      <c r="F145" s="15" t="n"/>
      <c r="G145" s="15" t="n"/>
      <c r="H145" s="15" t="n"/>
      <c r="I145" s="15" t="n"/>
      <c r="J145" s="15" t="n"/>
      <c r="K145" s="15" t="n"/>
      <c r="L145" s="15" t="n"/>
      <c r="M145" s="15" t="n"/>
      <c r="N145" s="15" t="n"/>
      <c r="O145" s="15" t="n"/>
    </row>
    <row r="146">
      <c r="A146" s="15" t="n"/>
      <c r="B146" s="15" t="n"/>
      <c r="C146" s="15" t="n"/>
      <c r="D146" s="15" t="n"/>
      <c r="E146" s="15" t="n"/>
      <c r="F146" s="15" t="n"/>
      <c r="G146" s="15" t="n"/>
      <c r="H146" s="15" t="n"/>
      <c r="I146" s="15" t="n"/>
      <c r="J146" s="15" t="n"/>
      <c r="K146" s="15" t="n"/>
      <c r="L146" s="15" t="n"/>
      <c r="M146" s="15" t="n"/>
      <c r="N146" s="15" t="n"/>
      <c r="O146" s="15" t="n"/>
    </row>
    <row r="147">
      <c r="A147" s="15" t="n"/>
      <c r="B147" s="15" t="n"/>
      <c r="C147" s="15" t="n"/>
      <c r="D147" s="15" t="n"/>
      <c r="E147" s="15" t="n"/>
      <c r="F147" s="15" t="n"/>
      <c r="G147" s="15" t="n"/>
      <c r="H147" s="15" t="n"/>
      <c r="I147" s="15" t="n"/>
      <c r="J147" s="15" t="n"/>
      <c r="K147" s="15" t="n"/>
      <c r="L147" s="15" t="n"/>
      <c r="M147" s="15" t="n"/>
      <c r="N147" s="15" t="n"/>
      <c r="O147" s="15" t="n"/>
    </row>
    <row r="148">
      <c r="A148" s="15" t="n"/>
      <c r="B148" s="15" t="n"/>
      <c r="C148" s="15" t="n"/>
      <c r="D148" s="15" t="n"/>
      <c r="E148" s="15" t="n"/>
      <c r="F148" s="15" t="n"/>
      <c r="G148" s="15" t="n"/>
      <c r="H148" s="15" t="n"/>
      <c r="I148" s="15" t="n"/>
      <c r="J148" s="15" t="n"/>
      <c r="K148" s="15" t="n"/>
      <c r="L148" s="15" t="n"/>
      <c r="M148" s="15" t="n"/>
      <c r="N148" s="15" t="n"/>
      <c r="O148" s="15" t="n"/>
    </row>
    <row r="149">
      <c r="A149" s="15" t="n"/>
      <c r="B149" s="15" t="n"/>
      <c r="C149" s="15" t="n"/>
      <c r="D149" s="15" t="n"/>
      <c r="E149" s="15" t="n"/>
      <c r="F149" s="15" t="n"/>
      <c r="G149" s="15" t="n"/>
      <c r="H149" s="15" t="n"/>
      <c r="I149" s="15" t="n"/>
      <c r="J149" s="15" t="n"/>
      <c r="K149" s="15" t="n"/>
      <c r="L149" s="15" t="n"/>
      <c r="M149" s="15" t="n"/>
      <c r="N149" s="15" t="n"/>
      <c r="O149" s="15" t="n"/>
    </row>
    <row r="150">
      <c r="A150" s="15" t="n"/>
      <c r="B150" s="15" t="n"/>
      <c r="C150" s="15" t="n"/>
      <c r="D150" s="15" t="n"/>
      <c r="E150" s="15" t="n"/>
      <c r="F150" s="15" t="n"/>
      <c r="G150" s="15" t="n"/>
      <c r="H150" s="15" t="n"/>
      <c r="I150" s="15" t="n"/>
      <c r="J150" s="15" t="n"/>
      <c r="K150" s="15" t="n"/>
      <c r="L150" s="15" t="n"/>
      <c r="M150" s="15" t="n"/>
      <c r="N150" s="15" t="n"/>
      <c r="O150" s="15" t="n"/>
    </row>
    <row r="151">
      <c r="A151" s="15" t="n"/>
      <c r="B151" s="15" t="n"/>
      <c r="C151" s="15" t="n"/>
      <c r="D151" s="15" t="n"/>
      <c r="E151" s="15" t="n"/>
      <c r="F151" s="15" t="n"/>
      <c r="G151" s="15" t="n"/>
      <c r="H151" s="15" t="n"/>
      <c r="I151" s="15" t="n"/>
      <c r="J151" s="15" t="n"/>
      <c r="K151" s="15" t="n"/>
      <c r="L151" s="15" t="n"/>
      <c r="M151" s="15" t="n"/>
      <c r="N151" s="15" t="n"/>
      <c r="O151" s="15" t="n"/>
    </row>
    <row r="152">
      <c r="A152" s="15" t="n"/>
      <c r="B152" s="15" t="n"/>
      <c r="C152" s="15" t="n"/>
      <c r="D152" s="15" t="n"/>
      <c r="E152" s="15" t="n"/>
      <c r="F152" s="15" t="n"/>
      <c r="G152" s="15" t="n"/>
      <c r="H152" s="15" t="n"/>
      <c r="I152" s="15" t="n"/>
      <c r="J152" s="15" t="n"/>
      <c r="K152" s="15" t="n"/>
      <c r="L152" s="15" t="n"/>
      <c r="M152" s="15" t="n"/>
      <c r="N152" s="15" t="n"/>
      <c r="O152" s="15" t="n"/>
    </row>
    <row r="153">
      <c r="A153" s="15" t="n"/>
      <c r="B153" s="15" t="n"/>
      <c r="C153" s="15" t="n"/>
      <c r="D153" s="15" t="n"/>
      <c r="E153" s="15" t="n"/>
      <c r="F153" s="15" t="n"/>
      <c r="G153" s="15" t="n"/>
      <c r="H153" s="15" t="n"/>
      <c r="I153" s="15" t="n"/>
      <c r="J153" s="15" t="n"/>
      <c r="K153" s="15" t="n"/>
      <c r="L153" s="15" t="n"/>
      <c r="M153" s="15" t="n"/>
      <c r="N153" s="15" t="n"/>
      <c r="O153" s="15" t="n"/>
    </row>
    <row r="154">
      <c r="A154" s="15" t="n"/>
      <c r="B154" s="15" t="n"/>
      <c r="C154" s="15" t="n"/>
      <c r="D154" s="15" t="n"/>
      <c r="E154" s="15" t="n"/>
      <c r="F154" s="15" t="n"/>
      <c r="G154" s="15" t="n"/>
      <c r="H154" s="15" t="n"/>
      <c r="I154" s="15" t="n"/>
      <c r="J154" s="15" t="n"/>
      <c r="K154" s="15" t="n"/>
      <c r="L154" s="15" t="n"/>
      <c r="M154" s="15" t="n"/>
      <c r="N154" s="15" t="n"/>
      <c r="O154" s="15" t="n"/>
    </row>
    <row r="155">
      <c r="A155" s="15" t="n"/>
      <c r="B155" s="15" t="n"/>
      <c r="C155" s="15" t="n"/>
      <c r="D155" s="15" t="n"/>
      <c r="E155" s="15" t="n"/>
      <c r="F155" s="15" t="n"/>
      <c r="G155" s="15" t="n"/>
      <c r="H155" s="15" t="n"/>
      <c r="I155" s="15" t="n"/>
      <c r="J155" s="15" t="n"/>
      <c r="K155" s="15" t="n"/>
      <c r="L155" s="15" t="n"/>
      <c r="M155" s="15" t="n"/>
      <c r="N155" s="15" t="n"/>
      <c r="O155" s="15" t="n"/>
    </row>
    <row r="156">
      <c r="A156" s="15" t="n"/>
      <c r="B156" s="15" t="n"/>
      <c r="C156" s="15" t="n"/>
      <c r="D156" s="15" t="n"/>
      <c r="E156" s="15" t="n"/>
      <c r="F156" s="15" t="n"/>
      <c r="G156" s="15" t="n"/>
      <c r="H156" s="15" t="n"/>
      <c r="I156" s="15" t="n"/>
      <c r="J156" s="15" t="n"/>
      <c r="K156" s="15" t="n"/>
      <c r="L156" s="15" t="n"/>
      <c r="M156" s="15" t="n"/>
      <c r="N156" s="15" t="n"/>
      <c r="O156" s="15" t="n"/>
    </row>
    <row r="157">
      <c r="A157" s="15" t="n"/>
      <c r="B157" s="15" t="n"/>
      <c r="C157" s="15" t="n"/>
      <c r="D157" s="15" t="n"/>
      <c r="E157" s="15" t="n"/>
      <c r="F157" s="15" t="n"/>
      <c r="G157" s="15" t="n"/>
      <c r="H157" s="15" t="n"/>
      <c r="I157" s="15" t="n"/>
      <c r="J157" s="15" t="n"/>
      <c r="K157" s="15" t="n"/>
      <c r="L157" s="15" t="n"/>
      <c r="M157" s="15" t="n"/>
      <c r="N157" s="15" t="n"/>
      <c r="O157" s="15" t="n"/>
    </row>
    <row r="158">
      <c r="A158" s="15" t="n"/>
      <c r="B158" s="15" t="n"/>
      <c r="C158" s="15" t="n"/>
      <c r="D158" s="15" t="n"/>
      <c r="E158" s="15" t="n"/>
      <c r="F158" s="15" t="n"/>
      <c r="G158" s="15" t="n"/>
      <c r="H158" s="15" t="n"/>
      <c r="I158" s="15" t="n"/>
      <c r="J158" s="15" t="n"/>
      <c r="K158" s="15" t="n"/>
      <c r="L158" s="15" t="n"/>
      <c r="M158" s="15" t="n"/>
      <c r="N158" s="15" t="n"/>
      <c r="O158" s="15" t="n"/>
    </row>
    <row r="159">
      <c r="A159" s="15" t="n"/>
      <c r="B159" s="15" t="n"/>
      <c r="C159" s="15" t="n"/>
      <c r="D159" s="15" t="n"/>
      <c r="E159" s="15" t="n"/>
      <c r="F159" s="15" t="n"/>
      <c r="G159" s="15" t="n"/>
      <c r="H159" s="15" t="n"/>
      <c r="I159" s="15" t="n"/>
      <c r="J159" s="15" t="n"/>
      <c r="K159" s="15" t="n"/>
      <c r="L159" s="15" t="n"/>
      <c r="M159" s="15" t="n"/>
      <c r="N159" s="15" t="n"/>
      <c r="O159" s="15" t="n"/>
    </row>
    <row r="160">
      <c r="A160" s="15" t="n"/>
      <c r="B160" s="15" t="n"/>
      <c r="C160" s="15" t="n"/>
      <c r="D160" s="15" t="n"/>
      <c r="E160" s="15" t="n"/>
      <c r="F160" s="15" t="n"/>
      <c r="G160" s="15" t="n"/>
      <c r="H160" s="15" t="n"/>
      <c r="I160" s="15" t="n"/>
      <c r="J160" s="15" t="n"/>
      <c r="K160" s="15" t="n"/>
      <c r="L160" s="15" t="n"/>
      <c r="M160" s="15" t="n"/>
      <c r="N160" s="15" t="n"/>
      <c r="O160" s="15" t="n"/>
    </row>
    <row r="161">
      <c r="A161" s="15" t="n"/>
      <c r="B161" s="15" t="n"/>
      <c r="C161" s="15" t="n"/>
      <c r="D161" s="15" t="n"/>
      <c r="E161" s="15" t="n"/>
      <c r="F161" s="15" t="n"/>
      <c r="G161" s="15" t="n"/>
      <c r="H161" s="15" t="n"/>
      <c r="I161" s="15" t="n"/>
      <c r="J161" s="15" t="n"/>
      <c r="K161" s="15" t="n"/>
      <c r="L161" s="15" t="n"/>
      <c r="M161" s="15" t="n"/>
      <c r="N161" s="15" t="n"/>
      <c r="O161" s="15" t="n"/>
    </row>
    <row r="162">
      <c r="A162" s="15" t="n"/>
      <c r="B162" s="15" t="n"/>
      <c r="C162" s="15" t="n"/>
      <c r="D162" s="15" t="n"/>
      <c r="E162" s="15" t="n"/>
      <c r="F162" s="15" t="n"/>
      <c r="G162" s="15" t="n"/>
      <c r="H162" s="15" t="n"/>
      <c r="I162" s="15" t="n"/>
      <c r="J162" s="15" t="n"/>
      <c r="K162" s="15" t="n"/>
      <c r="L162" s="15" t="n"/>
      <c r="M162" s="15" t="n"/>
      <c r="N162" s="15" t="n"/>
      <c r="O162" s="15" t="n"/>
    </row>
    <row r="163">
      <c r="A163" s="15" t="n"/>
      <c r="B163" s="15" t="n"/>
      <c r="C163" s="15" t="n"/>
      <c r="D163" s="15" t="n"/>
      <c r="E163" s="15" t="n"/>
      <c r="F163" s="15" t="n"/>
      <c r="G163" s="15" t="n"/>
      <c r="H163" s="15" t="n"/>
      <c r="I163" s="15" t="n"/>
      <c r="J163" s="15" t="n"/>
      <c r="K163" s="15" t="n"/>
      <c r="L163" s="15" t="n"/>
      <c r="M163" s="15" t="n"/>
      <c r="N163" s="15" t="n"/>
      <c r="O163" s="15" t="n"/>
    </row>
    <row r="164">
      <c r="A164" s="15" t="n"/>
      <c r="B164" s="15" t="n"/>
      <c r="C164" s="15" t="n"/>
      <c r="D164" s="15" t="n"/>
      <c r="E164" s="15" t="n"/>
      <c r="F164" s="15" t="n"/>
      <c r="G164" s="15" t="n"/>
      <c r="H164" s="15" t="n"/>
      <c r="I164" s="15" t="n"/>
      <c r="J164" s="15" t="n"/>
      <c r="K164" s="15" t="n"/>
      <c r="L164" s="15" t="n"/>
      <c r="M164" s="15" t="n"/>
      <c r="N164" s="15" t="n"/>
      <c r="O164" s="15" t="n"/>
    </row>
    <row r="165">
      <c r="A165" s="15" t="n"/>
      <c r="B165" s="15" t="n"/>
      <c r="C165" s="15" t="n"/>
      <c r="D165" s="15" t="n"/>
      <c r="E165" s="15" t="n"/>
      <c r="F165" s="15" t="n"/>
      <c r="G165" s="15" t="n"/>
      <c r="H165" s="15" t="n"/>
      <c r="I165" s="15" t="n"/>
      <c r="J165" s="15" t="n"/>
      <c r="K165" s="15" t="n"/>
      <c r="L165" s="15" t="n"/>
      <c r="M165" s="15" t="n"/>
      <c r="N165" s="15" t="n"/>
      <c r="O165" s="15" t="n"/>
    </row>
    <row r="166">
      <c r="A166" s="15" t="n"/>
      <c r="B166" s="15" t="n"/>
      <c r="C166" s="15" t="n"/>
      <c r="D166" s="15" t="n"/>
      <c r="E166" s="15" t="n"/>
      <c r="F166" s="15" t="n"/>
      <c r="G166" s="15" t="n"/>
      <c r="H166" s="15" t="n"/>
      <c r="I166" s="15" t="n"/>
      <c r="J166" s="15" t="n"/>
      <c r="K166" s="15" t="n"/>
      <c r="L166" s="15" t="n"/>
      <c r="M166" s="15" t="n"/>
      <c r="N166" s="15" t="n"/>
      <c r="O166" s="15" t="n"/>
    </row>
    <row r="167">
      <c r="A167" s="15" t="n"/>
      <c r="B167" s="15" t="n"/>
      <c r="C167" s="15" t="n"/>
      <c r="D167" s="15" t="n"/>
      <c r="E167" s="15" t="n"/>
      <c r="F167" s="15" t="n"/>
      <c r="G167" s="15" t="n"/>
      <c r="H167" s="15" t="n"/>
      <c r="I167" s="15" t="n"/>
      <c r="J167" s="15" t="n"/>
      <c r="K167" s="15" t="n"/>
      <c r="L167" s="15" t="n"/>
      <c r="M167" s="15" t="n"/>
      <c r="N167" s="15" t="n"/>
      <c r="O167" s="15" t="n"/>
    </row>
    <row r="168">
      <c r="A168" s="15" t="n"/>
      <c r="B168" s="15" t="n"/>
      <c r="C168" s="15" t="n"/>
      <c r="D168" s="15" t="n"/>
      <c r="E168" s="15" t="n"/>
      <c r="F168" s="15" t="n"/>
      <c r="G168" s="15" t="n"/>
      <c r="H168" s="15" t="n"/>
      <c r="I168" s="15" t="n"/>
      <c r="J168" s="15" t="n"/>
      <c r="K168" s="15" t="n"/>
      <c r="L168" s="15" t="n"/>
      <c r="M168" s="15" t="n"/>
      <c r="N168" s="15" t="n"/>
      <c r="O168" s="15" t="n"/>
    </row>
    <row r="169">
      <c r="A169" s="15" t="n"/>
      <c r="B169" s="15" t="n"/>
      <c r="C169" s="15" t="n"/>
      <c r="D169" s="15" t="n"/>
      <c r="E169" s="15" t="n"/>
      <c r="F169" s="15" t="n"/>
      <c r="G169" s="15" t="n"/>
      <c r="H169" s="15" t="n"/>
      <c r="I169" s="15" t="n"/>
      <c r="J169" s="15" t="n"/>
      <c r="K169" s="15" t="n"/>
      <c r="L169" s="15" t="n"/>
      <c r="M169" s="15" t="n"/>
      <c r="N169" s="15" t="n"/>
      <c r="O169" s="15" t="n"/>
    </row>
    <row r="170">
      <c r="A170" s="15" t="n"/>
      <c r="B170" s="15" t="n"/>
      <c r="C170" s="15" t="n"/>
      <c r="D170" s="15" t="n"/>
      <c r="E170" s="15" t="n"/>
      <c r="F170" s="15" t="n"/>
      <c r="G170" s="15" t="n"/>
      <c r="H170" s="15" t="n"/>
      <c r="I170" s="15" t="n"/>
      <c r="J170" s="15" t="n"/>
      <c r="K170" s="15" t="n"/>
      <c r="L170" s="15" t="n"/>
      <c r="M170" s="15" t="n"/>
      <c r="N170" s="15" t="n"/>
      <c r="O170" s="15" t="n"/>
    </row>
    <row r="171">
      <c r="A171" s="15" t="n"/>
      <c r="B171" s="15" t="n"/>
      <c r="C171" s="15" t="n"/>
      <c r="D171" s="15" t="n"/>
      <c r="E171" s="15" t="n"/>
      <c r="F171" s="15" t="n"/>
      <c r="G171" s="15" t="n"/>
      <c r="H171" s="15" t="n"/>
      <c r="I171" s="15" t="n"/>
      <c r="J171" s="15" t="n"/>
      <c r="K171" s="15" t="n"/>
      <c r="L171" s="15" t="n"/>
      <c r="M171" s="15" t="n"/>
      <c r="N171" s="15" t="n"/>
      <c r="O171" s="15" t="n"/>
    </row>
    <row r="172">
      <c r="A172" s="15" t="n"/>
      <c r="B172" s="15" t="n"/>
      <c r="C172" s="15" t="n"/>
      <c r="D172" s="15" t="n"/>
      <c r="E172" s="15" t="n"/>
      <c r="F172" s="15" t="n"/>
      <c r="G172" s="15" t="n"/>
      <c r="H172" s="15" t="n"/>
      <c r="I172" s="15" t="n"/>
      <c r="J172" s="15" t="n"/>
      <c r="K172" s="15" t="n"/>
      <c r="L172" s="15" t="n"/>
      <c r="M172" s="15" t="n"/>
      <c r="N172" s="15" t="n"/>
      <c r="O172" s="15" t="n"/>
    </row>
    <row r="173">
      <c r="A173" s="15" t="n"/>
      <c r="B173" s="15" t="n"/>
      <c r="C173" s="15" t="n"/>
      <c r="D173" s="15" t="n"/>
      <c r="E173" s="15" t="n"/>
      <c r="F173" s="15" t="n"/>
      <c r="G173" s="15" t="n"/>
      <c r="H173" s="15" t="n"/>
      <c r="I173" s="15" t="n"/>
      <c r="J173" s="15" t="n"/>
      <c r="K173" s="15" t="n"/>
      <c r="L173" s="15" t="n"/>
      <c r="M173" s="15" t="n"/>
      <c r="N173" s="15" t="n"/>
      <c r="O173" s="15" t="n"/>
    </row>
    <row r="174">
      <c r="A174" s="15" t="n"/>
      <c r="B174" s="15" t="n"/>
      <c r="C174" s="15" t="n"/>
      <c r="D174" s="15" t="n"/>
      <c r="E174" s="15" t="n"/>
      <c r="F174" s="15" t="n"/>
      <c r="G174" s="15" t="n"/>
      <c r="H174" s="15" t="n"/>
      <c r="I174" s="15" t="n"/>
      <c r="J174" s="15" t="n"/>
      <c r="K174" s="15" t="n"/>
      <c r="L174" s="15" t="n"/>
      <c r="M174" s="15" t="n"/>
      <c r="N174" s="15" t="n"/>
      <c r="O174" s="15" t="n"/>
    </row>
    <row r="175">
      <c r="A175" s="15" t="n"/>
      <c r="B175" s="15" t="n"/>
      <c r="C175" s="15" t="n"/>
      <c r="D175" s="15" t="n"/>
      <c r="E175" s="15" t="n"/>
      <c r="F175" s="15" t="n"/>
      <c r="G175" s="15" t="n"/>
      <c r="H175" s="15" t="n"/>
      <c r="I175" s="15" t="n"/>
      <c r="J175" s="15" t="n"/>
      <c r="K175" s="15" t="n"/>
      <c r="L175" s="15" t="n"/>
      <c r="M175" s="15" t="n"/>
      <c r="N175" s="15" t="n"/>
      <c r="O175" s="15" t="n"/>
    </row>
    <row r="176">
      <c r="A176" s="15" t="n"/>
      <c r="B176" s="15" t="n"/>
      <c r="C176" s="15" t="n"/>
      <c r="D176" s="15" t="n"/>
      <c r="E176" s="15" t="n"/>
      <c r="F176" s="15" t="n"/>
      <c r="G176" s="15" t="n"/>
      <c r="H176" s="15" t="n"/>
      <c r="I176" s="15" t="n"/>
      <c r="J176" s="15" t="n"/>
      <c r="K176" s="15" t="n"/>
      <c r="L176" s="15" t="n"/>
      <c r="M176" s="15" t="n"/>
      <c r="N176" s="15" t="n"/>
      <c r="O176" s="15" t="n"/>
    </row>
    <row r="177">
      <c r="A177" s="15" t="n"/>
      <c r="B177" s="15" t="n"/>
      <c r="C177" s="15" t="n"/>
      <c r="D177" s="15" t="n"/>
      <c r="E177" s="15" t="n"/>
      <c r="F177" s="15" t="n"/>
      <c r="G177" s="15" t="n"/>
      <c r="H177" s="15" t="n"/>
      <c r="I177" s="15" t="n"/>
      <c r="J177" s="15" t="n"/>
      <c r="K177" s="15" t="n"/>
      <c r="L177" s="15" t="n"/>
      <c r="M177" s="15" t="n"/>
      <c r="N177" s="15" t="n"/>
      <c r="O177" s="15" t="n"/>
    </row>
    <row r="178">
      <c r="A178" s="15" t="n"/>
      <c r="B178" s="15" t="n"/>
      <c r="C178" s="15" t="n"/>
      <c r="D178" s="15" t="n"/>
      <c r="E178" s="15" t="n"/>
      <c r="F178" s="15" t="n"/>
      <c r="G178" s="15" t="n"/>
      <c r="H178" s="15" t="n"/>
      <c r="I178" s="15" t="n"/>
      <c r="J178" s="15" t="n"/>
      <c r="K178" s="15" t="n"/>
      <c r="L178" s="15" t="n"/>
      <c r="M178" s="15" t="n"/>
      <c r="N178" s="15" t="n"/>
      <c r="O178" s="15" t="n"/>
    </row>
    <row r="179">
      <c r="A179" s="15" t="n"/>
      <c r="B179" s="15" t="n"/>
      <c r="C179" s="15" t="n"/>
      <c r="D179" s="15" t="n"/>
      <c r="E179" s="15" t="n"/>
      <c r="F179" s="15" t="n"/>
      <c r="G179" s="15" t="n"/>
      <c r="H179" s="15" t="n"/>
      <c r="I179" s="15" t="n"/>
      <c r="J179" s="15" t="n"/>
      <c r="K179" s="15" t="n"/>
      <c r="L179" s="15" t="n"/>
      <c r="M179" s="15" t="n"/>
      <c r="N179" s="15" t="n"/>
      <c r="O179" s="15" t="n"/>
    </row>
    <row r="180">
      <c r="A180" s="15" t="n"/>
      <c r="B180" s="15" t="n"/>
      <c r="C180" s="15" t="n"/>
      <c r="D180" s="15" t="n"/>
      <c r="E180" s="15" t="n"/>
      <c r="F180" s="15" t="n"/>
      <c r="G180" s="15" t="n"/>
      <c r="H180" s="15" t="n"/>
      <c r="I180" s="15" t="n"/>
      <c r="J180" s="15" t="n"/>
      <c r="K180" s="15" t="n"/>
      <c r="L180" s="15" t="n"/>
      <c r="M180" s="15" t="n"/>
      <c r="N180" s="15" t="n"/>
      <c r="O180" s="15" t="n"/>
    </row>
    <row r="181">
      <c r="A181" s="15" t="n"/>
      <c r="B181" s="15" t="n"/>
      <c r="C181" s="15" t="n"/>
      <c r="D181" s="15" t="n"/>
      <c r="E181" s="15" t="n"/>
      <c r="F181" s="15" t="n"/>
      <c r="G181" s="15" t="n"/>
      <c r="H181" s="15" t="n"/>
      <c r="I181" s="15" t="n"/>
      <c r="J181" s="15" t="n"/>
      <c r="K181" s="15" t="n"/>
      <c r="L181" s="15" t="n"/>
      <c r="M181" s="15" t="n"/>
      <c r="N181" s="15" t="n"/>
      <c r="O181" s="15" t="n"/>
    </row>
    <row r="182">
      <c r="A182" s="15" t="n"/>
      <c r="B182" s="15" t="n"/>
      <c r="C182" s="15" t="n"/>
      <c r="D182" s="15" t="n"/>
      <c r="E182" s="15" t="n"/>
      <c r="F182" s="15" t="n"/>
      <c r="G182" s="15" t="n"/>
      <c r="H182" s="15" t="n"/>
      <c r="I182" s="15" t="n"/>
      <c r="J182" s="15" t="n"/>
      <c r="K182" s="15" t="n"/>
      <c r="L182" s="15" t="n"/>
      <c r="M182" s="15" t="n"/>
      <c r="N182" s="15" t="n"/>
      <c r="O182" s="15" t="n"/>
    </row>
    <row r="183">
      <c r="A183" s="15" t="n"/>
      <c r="B183" s="15" t="n"/>
      <c r="C183" s="15" t="n"/>
      <c r="D183" s="15" t="n"/>
      <c r="E183" s="15" t="n"/>
      <c r="F183" s="15" t="n"/>
      <c r="G183" s="15" t="n"/>
      <c r="H183" s="15" t="n"/>
      <c r="I183" s="15" t="n"/>
      <c r="J183" s="15" t="n"/>
      <c r="K183" s="15" t="n"/>
      <c r="L183" s="15" t="n"/>
      <c r="M183" s="15" t="n"/>
      <c r="N183" s="15" t="n"/>
      <c r="O183" s="15" t="n"/>
    </row>
    <row r="184">
      <c r="A184" s="15" t="n"/>
      <c r="B184" s="15" t="n"/>
      <c r="C184" s="15" t="n"/>
      <c r="D184" s="15" t="n"/>
      <c r="E184" s="15" t="n"/>
      <c r="F184" s="15" t="n"/>
      <c r="G184" s="15" t="n"/>
      <c r="H184" s="15" t="n"/>
      <c r="I184" s="15" t="n"/>
      <c r="J184" s="15" t="n"/>
      <c r="K184" s="15" t="n"/>
      <c r="L184" s="15" t="n"/>
      <c r="M184" s="15" t="n"/>
      <c r="N184" s="15" t="n"/>
      <c r="O184" s="15" t="n"/>
    </row>
    <row r="185">
      <c r="A185" s="15" t="n"/>
      <c r="B185" s="15" t="n"/>
      <c r="C185" s="15" t="n"/>
      <c r="D185" s="15" t="n"/>
      <c r="E185" s="15" t="n"/>
      <c r="F185" s="15" t="n"/>
      <c r="G185" s="15" t="n"/>
      <c r="H185" s="15" t="n"/>
      <c r="I185" s="15" t="n"/>
      <c r="J185" s="15" t="n"/>
      <c r="K185" s="15" t="n"/>
      <c r="L185" s="15" t="n"/>
      <c r="M185" s="15" t="n"/>
      <c r="N185" s="15" t="n"/>
      <c r="O185" s="15" t="n"/>
    </row>
    <row r="186">
      <c r="A186" s="15" t="n"/>
      <c r="B186" s="15" t="n"/>
      <c r="C186" s="15" t="n"/>
      <c r="D186" s="15" t="n"/>
      <c r="E186" s="15" t="n"/>
      <c r="F186" s="15" t="n"/>
      <c r="G186" s="15" t="n"/>
      <c r="H186" s="15" t="n"/>
      <c r="I186" s="15" t="n"/>
      <c r="J186" s="15" t="n"/>
      <c r="K186" s="15" t="n"/>
      <c r="L186" s="15" t="n"/>
      <c r="M186" s="15" t="n"/>
      <c r="N186" s="15" t="n"/>
      <c r="O186" s="15" t="n"/>
    </row>
    <row r="187">
      <c r="A187" s="15" t="n"/>
      <c r="B187" s="15" t="n"/>
      <c r="C187" s="15" t="n"/>
      <c r="D187" s="15" t="n"/>
      <c r="E187" s="15" t="n"/>
      <c r="F187" s="15" t="n"/>
      <c r="G187" s="15" t="n"/>
      <c r="H187" s="15" t="n"/>
      <c r="I187" s="15" t="n"/>
      <c r="J187" s="15" t="n"/>
      <c r="K187" s="15" t="n"/>
      <c r="L187" s="15" t="n"/>
      <c r="M187" s="15" t="n"/>
      <c r="N187" s="15" t="n"/>
      <c r="O187" s="15" t="n"/>
    </row>
    <row r="188">
      <c r="A188" s="15" t="n"/>
      <c r="B188" s="15" t="n"/>
      <c r="C188" s="15" t="n"/>
      <c r="D188" s="15" t="n"/>
      <c r="E188" s="15" t="n"/>
      <c r="F188" s="15" t="n"/>
      <c r="G188" s="15" t="n"/>
      <c r="H188" s="15" t="n"/>
      <c r="I188" s="15" t="n"/>
      <c r="J188" s="15" t="n"/>
      <c r="K188" s="15" t="n"/>
      <c r="L188" s="15" t="n"/>
      <c r="M188" s="15" t="n"/>
      <c r="N188" s="15" t="n"/>
      <c r="O188" s="15" t="n"/>
    </row>
    <row r="189">
      <c r="A189" s="15" t="n"/>
      <c r="B189" s="15" t="n"/>
      <c r="C189" s="15" t="n"/>
      <c r="D189" s="15" t="n"/>
      <c r="E189" s="15" t="n"/>
      <c r="F189" s="15" t="n"/>
      <c r="G189" s="15" t="n"/>
      <c r="H189" s="15" t="n"/>
      <c r="I189" s="15" t="n"/>
      <c r="J189" s="15" t="n"/>
      <c r="K189" s="15" t="n"/>
      <c r="L189" s="15" t="n"/>
      <c r="M189" s="15" t="n"/>
      <c r="N189" s="15" t="n"/>
      <c r="O189" s="15" t="n"/>
    </row>
    <row r="190">
      <c r="A190" s="15" t="n"/>
      <c r="B190" s="15" t="n"/>
      <c r="C190" s="15" t="n"/>
      <c r="D190" s="15" t="n"/>
      <c r="E190" s="15" t="n"/>
      <c r="F190" s="15" t="n"/>
      <c r="G190" s="15" t="n"/>
      <c r="H190" s="15" t="n"/>
      <c r="I190" s="15" t="n"/>
      <c r="J190" s="15" t="n"/>
      <c r="K190" s="15" t="n"/>
      <c r="L190" s="15" t="n"/>
      <c r="M190" s="15" t="n"/>
      <c r="N190" s="15" t="n"/>
      <c r="O190" s="15" t="n"/>
    </row>
    <row r="191">
      <c r="A191" s="15" t="n"/>
      <c r="B191" s="15" t="n"/>
      <c r="C191" s="15" t="n"/>
      <c r="D191" s="15" t="n"/>
      <c r="E191" s="15" t="n"/>
      <c r="F191" s="15" t="n"/>
      <c r="G191" s="15" t="n"/>
      <c r="H191" s="15" t="n"/>
      <c r="I191" s="15" t="n"/>
      <c r="J191" s="15" t="n"/>
      <c r="K191" s="15" t="n"/>
      <c r="L191" s="15" t="n"/>
      <c r="M191" s="15" t="n"/>
      <c r="N191" s="15" t="n"/>
      <c r="O191" s="15" t="n"/>
    </row>
    <row r="192">
      <c r="A192" s="15" t="n"/>
      <c r="B192" s="15" t="n"/>
      <c r="C192" s="15" t="n"/>
      <c r="D192" s="15" t="n"/>
      <c r="E192" s="15" t="n"/>
      <c r="F192" s="15" t="n"/>
      <c r="G192" s="15" t="n"/>
      <c r="H192" s="15" t="n"/>
      <c r="I192" s="15" t="n"/>
      <c r="J192" s="15" t="n"/>
      <c r="K192" s="15" t="n"/>
      <c r="L192" s="15" t="n"/>
      <c r="M192" s="15" t="n"/>
      <c r="N192" s="15" t="n"/>
      <c r="O192" s="15" t="n"/>
    </row>
    <row r="193">
      <c r="A193" s="15" t="n"/>
      <c r="B193" s="15" t="n"/>
      <c r="C193" s="15" t="n"/>
      <c r="D193" s="15" t="n"/>
      <c r="E193" s="15" t="n"/>
      <c r="F193" s="15" t="n"/>
      <c r="G193" s="15" t="n"/>
      <c r="H193" s="15" t="n"/>
      <c r="I193" s="15" t="n"/>
      <c r="J193" s="15" t="n"/>
      <c r="K193" s="15" t="n"/>
      <c r="L193" s="15" t="n"/>
      <c r="M193" s="15" t="n"/>
      <c r="N193" s="15" t="n"/>
      <c r="O193" s="15" t="n"/>
    </row>
    <row r="194">
      <c r="A194" s="15" t="n"/>
      <c r="B194" s="15" t="n"/>
      <c r="C194" s="15" t="n"/>
      <c r="D194" s="15" t="n"/>
      <c r="E194" s="15" t="n"/>
      <c r="F194" s="15" t="n"/>
      <c r="G194" s="15" t="n"/>
      <c r="H194" s="15" t="n"/>
      <c r="I194" s="15" t="n"/>
      <c r="J194" s="15" t="n"/>
      <c r="K194" s="15" t="n"/>
      <c r="L194" s="15" t="n"/>
      <c r="M194" s="15" t="n"/>
      <c r="N194" s="15" t="n"/>
      <c r="O194" s="15" t="n"/>
    </row>
    <row r="195">
      <c r="A195" s="15" t="n"/>
      <c r="B195" s="15" t="n"/>
      <c r="C195" s="15" t="n"/>
      <c r="D195" s="15" t="n"/>
      <c r="E195" s="15" t="n"/>
      <c r="F195" s="15" t="n"/>
      <c r="G195" s="15" t="n"/>
      <c r="H195" s="15" t="n"/>
      <c r="I195" s="15" t="n"/>
      <c r="J195" s="15" t="n"/>
      <c r="K195" s="15" t="n"/>
      <c r="L195" s="15" t="n"/>
      <c r="M195" s="15" t="n"/>
      <c r="N195" s="15" t="n"/>
      <c r="O195" s="15" t="n"/>
    </row>
    <row r="196">
      <c r="A196" s="15" t="n"/>
      <c r="B196" s="15" t="n"/>
      <c r="C196" s="15" t="n"/>
      <c r="D196" s="15" t="n"/>
      <c r="E196" s="15" t="n"/>
      <c r="F196" s="15" t="n"/>
      <c r="G196" s="15" t="n"/>
      <c r="H196" s="15" t="n"/>
      <c r="I196" s="15" t="n"/>
      <c r="J196" s="15" t="n"/>
      <c r="K196" s="15" t="n"/>
      <c r="L196" s="15" t="n"/>
      <c r="M196" s="15" t="n"/>
      <c r="N196" s="15" t="n"/>
      <c r="O196" s="15" t="n"/>
    </row>
    <row r="197">
      <c r="A197" s="15" t="n"/>
      <c r="B197" s="15" t="n"/>
      <c r="C197" s="15" t="n"/>
      <c r="D197" s="15" t="n"/>
      <c r="E197" s="15" t="n"/>
      <c r="F197" s="15" t="n"/>
      <c r="G197" s="15" t="n"/>
      <c r="H197" s="15" t="n"/>
      <c r="I197" s="15" t="n"/>
      <c r="J197" s="15" t="n"/>
      <c r="K197" s="15" t="n"/>
      <c r="L197" s="15" t="n"/>
      <c r="M197" s="15" t="n"/>
      <c r="N197" s="15" t="n"/>
      <c r="O197" s="15" t="n"/>
    </row>
    <row r="198">
      <c r="A198" s="15" t="n"/>
      <c r="B198" s="15" t="n"/>
      <c r="C198" s="15" t="n"/>
      <c r="D198" s="15" t="n"/>
      <c r="E198" s="15" t="n"/>
      <c r="F198" s="15" t="n"/>
      <c r="G198" s="15" t="n"/>
      <c r="H198" s="15" t="n"/>
      <c r="I198" s="15" t="n"/>
      <c r="J198" s="15" t="n"/>
      <c r="K198" s="15" t="n"/>
      <c r="L198" s="15" t="n"/>
      <c r="M198" s="15" t="n"/>
      <c r="N198" s="15" t="n"/>
      <c r="O198" s="15" t="n"/>
    </row>
    <row r="199">
      <c r="A199" s="15" t="n"/>
      <c r="B199" s="15" t="n"/>
      <c r="C199" s="15" t="n"/>
      <c r="D199" s="15" t="n"/>
      <c r="E199" s="15" t="n"/>
      <c r="F199" s="15" t="n"/>
      <c r="G199" s="15" t="n"/>
      <c r="H199" s="15" t="n"/>
      <c r="I199" s="15" t="n"/>
      <c r="J199" s="15" t="n"/>
      <c r="K199" s="15" t="n"/>
      <c r="L199" s="15" t="n"/>
      <c r="M199" s="15" t="n"/>
      <c r="N199" s="15" t="n"/>
      <c r="O199" s="15" t="n"/>
    </row>
    <row r="200">
      <c r="A200" s="15" t="n"/>
      <c r="B200" s="15" t="n"/>
      <c r="C200" s="15" t="n"/>
      <c r="D200" s="15" t="n"/>
      <c r="E200" s="15" t="n"/>
      <c r="F200" s="15" t="n"/>
      <c r="G200" s="15" t="n"/>
      <c r="H200" s="15" t="n"/>
      <c r="I200" s="15" t="n"/>
      <c r="J200" s="15" t="n"/>
      <c r="K200" s="15" t="n"/>
      <c r="L200" s="15" t="n"/>
      <c r="M200" s="15" t="n"/>
      <c r="N200" s="15" t="n"/>
      <c r="O200" s="15" t="n"/>
    </row>
    <row r="201">
      <c r="A201" s="15" t="n"/>
      <c r="B201" s="15" t="n"/>
      <c r="C201" s="15" t="n"/>
      <c r="D201" s="15" t="n"/>
      <c r="E201" s="15" t="n"/>
      <c r="F201" s="15" t="n"/>
      <c r="G201" s="15" t="n"/>
      <c r="H201" s="15" t="n"/>
      <c r="I201" s="15" t="n"/>
      <c r="J201" s="15" t="n"/>
      <c r="K201" s="15" t="n"/>
      <c r="L201" s="15" t="n"/>
      <c r="M201" s="15" t="n"/>
      <c r="N201" s="15" t="n"/>
      <c r="O201" s="15" t="n"/>
    </row>
    <row r="202">
      <c r="A202" s="15" t="n"/>
      <c r="B202" s="15" t="n"/>
      <c r="C202" s="15" t="n"/>
      <c r="D202" s="15" t="n"/>
      <c r="E202" s="15" t="n"/>
      <c r="F202" s="15" t="n"/>
      <c r="G202" s="15" t="n"/>
      <c r="H202" s="15" t="n"/>
      <c r="I202" s="15" t="n"/>
      <c r="J202" s="15" t="n"/>
      <c r="K202" s="15" t="n"/>
      <c r="L202" s="15" t="n"/>
      <c r="M202" s="15" t="n"/>
      <c r="N202" s="15" t="n"/>
      <c r="O202" s="15" t="n"/>
    </row>
    <row r="203">
      <c r="A203" s="15" t="n"/>
      <c r="B203" s="15" t="n"/>
      <c r="C203" s="15" t="n"/>
      <c r="D203" s="15" t="n"/>
      <c r="E203" s="15" t="n"/>
      <c r="F203" s="15" t="n"/>
      <c r="G203" s="15" t="n"/>
      <c r="H203" s="15" t="n"/>
      <c r="I203" s="15" t="n"/>
      <c r="J203" s="15" t="n"/>
      <c r="K203" s="15" t="n"/>
      <c r="L203" s="15" t="n"/>
      <c r="M203" s="15" t="n"/>
      <c r="N203" s="15" t="n"/>
      <c r="O203" s="15" t="n"/>
    </row>
    <row r="204">
      <c r="A204" s="15" t="n"/>
      <c r="B204" s="15" t="n"/>
      <c r="C204" s="15" t="n"/>
      <c r="D204" s="15" t="n"/>
      <c r="E204" s="15" t="n"/>
      <c r="F204" s="15" t="n"/>
      <c r="G204" s="15" t="n"/>
      <c r="H204" s="15" t="n"/>
      <c r="I204" s="15" t="n"/>
      <c r="J204" s="15" t="n"/>
      <c r="K204" s="15" t="n"/>
      <c r="L204" s="15" t="n"/>
      <c r="M204" s="15" t="n"/>
      <c r="N204" s="15" t="n"/>
      <c r="O204" s="15" t="n"/>
    </row>
    <row r="205">
      <c r="A205" s="15" t="n"/>
      <c r="B205" s="15" t="n"/>
      <c r="C205" s="15" t="n"/>
      <c r="D205" s="15" t="n"/>
      <c r="E205" s="15" t="n"/>
      <c r="F205" s="15" t="n"/>
      <c r="G205" s="15" t="n"/>
      <c r="H205" s="15" t="n"/>
      <c r="I205" s="15" t="n"/>
      <c r="J205" s="15" t="n"/>
      <c r="K205" s="15" t="n"/>
      <c r="L205" s="15" t="n"/>
      <c r="M205" s="15" t="n"/>
      <c r="N205" s="15" t="n"/>
      <c r="O205" s="15" t="n"/>
    </row>
    <row r="206">
      <c r="A206" s="15" t="n"/>
      <c r="B206" s="15" t="n"/>
      <c r="C206" s="15" t="n"/>
      <c r="D206" s="15" t="n"/>
      <c r="E206" s="15" t="n"/>
      <c r="F206" s="15" t="n"/>
      <c r="G206" s="15" t="n"/>
      <c r="H206" s="15" t="n"/>
      <c r="I206" s="15" t="n"/>
      <c r="J206" s="15" t="n"/>
      <c r="K206" s="15" t="n"/>
      <c r="L206" s="15" t="n"/>
      <c r="M206" s="15" t="n"/>
      <c r="N206" s="15" t="n"/>
      <c r="O206" s="15" t="n"/>
    </row>
    <row r="207">
      <c r="A207" s="15" t="n"/>
      <c r="B207" s="15" t="n"/>
      <c r="C207" s="15" t="n"/>
      <c r="D207" s="15" t="n"/>
      <c r="E207" s="15" t="n"/>
      <c r="F207" s="15" t="n"/>
      <c r="G207" s="15" t="n"/>
      <c r="H207" s="15" t="n"/>
      <c r="I207" s="15" t="n"/>
      <c r="J207" s="15" t="n"/>
      <c r="K207" s="15" t="n"/>
      <c r="L207" s="15" t="n"/>
      <c r="M207" s="15" t="n"/>
      <c r="N207" s="15" t="n"/>
      <c r="O207" s="15" t="n"/>
    </row>
    <row r="208">
      <c r="A208" s="15" t="n"/>
      <c r="B208" s="15" t="n"/>
      <c r="C208" s="15" t="n"/>
      <c r="D208" s="15" t="n"/>
      <c r="E208" s="15" t="n"/>
      <c r="F208" s="15" t="n"/>
      <c r="G208" s="15" t="n"/>
      <c r="H208" s="15" t="n"/>
      <c r="I208" s="15" t="n"/>
      <c r="J208" s="15" t="n"/>
      <c r="K208" s="15" t="n"/>
      <c r="L208" s="15" t="n"/>
      <c r="M208" s="15" t="n"/>
      <c r="N208" s="15" t="n"/>
      <c r="O208" s="15" t="n"/>
    </row>
    <row r="209">
      <c r="A209" s="15" t="n"/>
      <c r="B209" s="15" t="n"/>
      <c r="C209" s="15" t="n"/>
      <c r="D209" s="15" t="n"/>
      <c r="E209" s="15" t="n"/>
      <c r="F209" s="15" t="n"/>
      <c r="G209" s="15" t="n"/>
      <c r="H209" s="15" t="n"/>
      <c r="I209" s="15" t="n"/>
      <c r="J209" s="15" t="n"/>
      <c r="K209" s="15" t="n"/>
      <c r="L209" s="15" t="n"/>
      <c r="M209" s="15" t="n"/>
      <c r="N209" s="15" t="n"/>
      <c r="O209" s="15" t="n"/>
    </row>
    <row r="210">
      <c r="A210" s="15" t="n"/>
      <c r="B210" s="15" t="n"/>
      <c r="C210" s="15" t="n"/>
      <c r="D210" s="15" t="n"/>
      <c r="E210" s="15" t="n"/>
      <c r="F210" s="15" t="n"/>
      <c r="G210" s="15" t="n"/>
      <c r="H210" s="15" t="n"/>
      <c r="I210" s="15" t="n"/>
      <c r="J210" s="15" t="n"/>
      <c r="K210" s="15" t="n"/>
      <c r="L210" s="15" t="n"/>
      <c r="M210" s="15" t="n"/>
      <c r="N210" s="15" t="n"/>
      <c r="O210" s="15" t="n"/>
    </row>
    <row r="211">
      <c r="A211" s="15" t="n"/>
      <c r="B211" s="15" t="n"/>
      <c r="C211" s="15" t="n"/>
      <c r="D211" s="15" t="n"/>
      <c r="E211" s="15" t="n"/>
      <c r="F211" s="15" t="n"/>
      <c r="G211" s="15" t="n"/>
      <c r="H211" s="15" t="n"/>
      <c r="I211" s="15" t="n"/>
      <c r="J211" s="15" t="n"/>
      <c r="K211" s="15" t="n"/>
      <c r="L211" s="15" t="n"/>
      <c r="M211" s="15" t="n"/>
      <c r="N211" s="15" t="n"/>
      <c r="O211" s="15" t="n"/>
    </row>
    <row r="212">
      <c r="A212" s="15" t="n"/>
      <c r="B212" s="15" t="n"/>
      <c r="C212" s="15" t="n"/>
      <c r="D212" s="15" t="n"/>
      <c r="E212" s="15" t="n"/>
      <c r="F212" s="15" t="n"/>
      <c r="G212" s="15" t="n"/>
      <c r="H212" s="15" t="n"/>
      <c r="I212" s="15" t="n"/>
      <c r="J212" s="15" t="n"/>
      <c r="K212" s="15" t="n"/>
      <c r="L212" s="15" t="n"/>
      <c r="M212" s="15" t="n"/>
      <c r="N212" s="15" t="n"/>
      <c r="O212" s="15" t="n"/>
    </row>
    <row r="213">
      <c r="A213" s="15" t="n"/>
      <c r="B213" s="15" t="n"/>
      <c r="C213" s="15" t="n"/>
      <c r="D213" s="15" t="n"/>
      <c r="E213" s="15" t="n"/>
      <c r="F213" s="15" t="n"/>
      <c r="G213" s="15" t="n"/>
      <c r="H213" s="15" t="n"/>
      <c r="I213" s="15" t="n"/>
      <c r="J213" s="15" t="n"/>
      <c r="K213" s="15" t="n"/>
      <c r="L213" s="15" t="n"/>
      <c r="M213" s="15" t="n"/>
      <c r="N213" s="15" t="n"/>
      <c r="O213" s="15" t="n"/>
    </row>
    <row r="214">
      <c r="A214" s="15" t="n"/>
      <c r="B214" s="15" t="n"/>
      <c r="C214" s="15" t="n"/>
      <c r="D214" s="15" t="n"/>
      <c r="E214" s="15" t="n"/>
      <c r="F214" s="15" t="n"/>
      <c r="G214" s="15" t="n"/>
      <c r="H214" s="15" t="n"/>
      <c r="I214" s="15" t="n"/>
      <c r="J214" s="15" t="n"/>
      <c r="K214" s="15" t="n"/>
      <c r="L214" s="15" t="n"/>
      <c r="M214" s="15" t="n"/>
      <c r="N214" s="15" t="n"/>
      <c r="O214" s="15" t="n"/>
    </row>
    <row r="215">
      <c r="A215" s="15" t="n"/>
      <c r="B215" s="15" t="n"/>
      <c r="C215" s="15" t="n"/>
      <c r="D215" s="15" t="n"/>
      <c r="E215" s="15" t="n"/>
      <c r="F215" s="15" t="n"/>
      <c r="G215" s="15" t="n"/>
      <c r="H215" s="15" t="n"/>
      <c r="I215" s="15" t="n"/>
      <c r="J215" s="15" t="n"/>
      <c r="K215" s="15" t="n"/>
      <c r="L215" s="15" t="n"/>
      <c r="M215" s="15" t="n"/>
      <c r="N215" s="15" t="n"/>
      <c r="O215" s="15" t="n"/>
    </row>
    <row r="216">
      <c r="A216" s="15" t="n"/>
      <c r="B216" s="15" t="n"/>
      <c r="C216" s="15" t="n"/>
      <c r="D216" s="15" t="n"/>
      <c r="E216" s="15" t="n"/>
      <c r="F216" s="15" t="n"/>
      <c r="G216" s="15" t="n"/>
      <c r="H216" s="15" t="n"/>
      <c r="I216" s="15" t="n"/>
      <c r="J216" s="15" t="n"/>
      <c r="K216" s="15" t="n"/>
      <c r="L216" s="15" t="n"/>
      <c r="M216" s="15" t="n"/>
      <c r="N216" s="15" t="n"/>
      <c r="O216" s="15" t="n"/>
    </row>
    <row r="217">
      <c r="A217" s="15" t="n"/>
      <c r="B217" s="15" t="n"/>
      <c r="C217" s="15" t="n"/>
      <c r="D217" s="15" t="n"/>
      <c r="E217" s="15" t="n"/>
      <c r="F217" s="15" t="n"/>
      <c r="G217" s="15" t="n"/>
      <c r="H217" s="15" t="n"/>
      <c r="I217" s="15" t="n"/>
      <c r="J217" s="15" t="n"/>
      <c r="K217" s="15" t="n"/>
      <c r="L217" s="15" t="n"/>
      <c r="M217" s="15" t="n"/>
      <c r="N217" s="15" t="n"/>
      <c r="O217" s="15" t="n"/>
    </row>
    <row r="218">
      <c r="A218" s="15" t="n"/>
      <c r="B218" s="15" t="n"/>
      <c r="C218" s="15" t="n"/>
      <c r="D218" s="15" t="n"/>
      <c r="E218" s="15" t="n"/>
      <c r="F218" s="15" t="n"/>
      <c r="G218" s="15" t="n"/>
      <c r="H218" s="15" t="n"/>
      <c r="I218" s="15" t="n"/>
      <c r="J218" s="15" t="n"/>
      <c r="K218" s="15" t="n"/>
      <c r="L218" s="15" t="n"/>
      <c r="M218" s="15" t="n"/>
      <c r="N218" s="15" t="n"/>
      <c r="O218" s="15" t="n"/>
    </row>
    <row r="219">
      <c r="A219" s="15" t="n"/>
      <c r="B219" s="15" t="n"/>
      <c r="C219" s="15" t="n"/>
      <c r="D219" s="15" t="n"/>
      <c r="E219" s="15" t="n"/>
      <c r="F219" s="15" t="n"/>
      <c r="G219" s="15" t="n"/>
      <c r="H219" s="15" t="n"/>
      <c r="I219" s="15" t="n"/>
      <c r="J219" s="15" t="n"/>
      <c r="K219" s="15" t="n"/>
      <c r="L219" s="15" t="n"/>
      <c r="M219" s="15" t="n"/>
      <c r="N219" s="15" t="n"/>
      <c r="O219" s="15" t="n"/>
    </row>
    <row r="220">
      <c r="A220" s="15" t="n"/>
      <c r="B220" s="15" t="n"/>
      <c r="C220" s="15" t="n"/>
      <c r="D220" s="15" t="n"/>
      <c r="E220" s="15" t="n"/>
      <c r="F220" s="15" t="n"/>
      <c r="G220" s="15" t="n"/>
      <c r="H220" s="15" t="n"/>
      <c r="I220" s="15" t="n"/>
      <c r="J220" s="15" t="n"/>
      <c r="K220" s="15" t="n"/>
      <c r="L220" s="15" t="n"/>
      <c r="M220" s="15" t="n"/>
      <c r="N220" s="15" t="n"/>
      <c r="O220" s="15" t="n"/>
    </row>
    <row r="221">
      <c r="A221" s="15" t="n"/>
      <c r="B221" s="15" t="n"/>
      <c r="C221" s="15" t="n"/>
      <c r="D221" s="15" t="n"/>
      <c r="E221" s="15" t="n"/>
      <c r="F221" s="15" t="n"/>
      <c r="G221" s="15" t="n"/>
      <c r="H221" s="15" t="n"/>
      <c r="I221" s="15" t="n"/>
      <c r="J221" s="15" t="n"/>
      <c r="K221" s="15" t="n"/>
      <c r="L221" s="15" t="n"/>
      <c r="M221" s="15" t="n"/>
      <c r="N221" s="15" t="n"/>
      <c r="O221" s="15" t="n"/>
    </row>
    <row r="222">
      <c r="A222" s="15" t="n"/>
      <c r="B222" s="15" t="n"/>
      <c r="C222" s="15" t="n"/>
      <c r="D222" s="15" t="n"/>
      <c r="E222" s="15" t="n"/>
      <c r="F222" s="15" t="n"/>
      <c r="G222" s="15" t="n"/>
      <c r="H222" s="15" t="n"/>
      <c r="I222" s="15" t="n"/>
      <c r="J222" s="15" t="n"/>
      <c r="K222" s="15" t="n"/>
      <c r="L222" s="15" t="n"/>
      <c r="M222" s="15" t="n"/>
      <c r="N222" s="15" t="n"/>
      <c r="O222" s="15" t="n"/>
    </row>
    <row r="223">
      <c r="A223" s="15" t="n"/>
      <c r="B223" s="15" t="n"/>
      <c r="C223" s="15" t="n"/>
      <c r="D223" s="15" t="n"/>
      <c r="E223" s="15" t="n"/>
      <c r="F223" s="15" t="n"/>
      <c r="G223" s="15" t="n"/>
      <c r="H223" s="15" t="n"/>
      <c r="I223" s="15" t="n"/>
      <c r="J223" s="15" t="n"/>
      <c r="K223" s="15" t="n"/>
      <c r="L223" s="15" t="n"/>
      <c r="M223" s="15" t="n"/>
      <c r="N223" s="15" t="n"/>
      <c r="O223" s="15" t="n"/>
    </row>
    <row r="224">
      <c r="A224" s="15" t="n"/>
      <c r="B224" s="15" t="n"/>
      <c r="C224" s="15" t="n"/>
      <c r="D224" s="15" t="n"/>
      <c r="E224" s="15" t="n"/>
      <c r="F224" s="15" t="n"/>
      <c r="G224" s="15" t="n"/>
      <c r="H224" s="15" t="n"/>
      <c r="I224" s="15" t="n"/>
      <c r="J224" s="15" t="n"/>
      <c r="K224" s="15" t="n"/>
      <c r="L224" s="15" t="n"/>
      <c r="M224" s="15" t="n"/>
      <c r="N224" s="15" t="n"/>
      <c r="O224" s="15" t="n"/>
    </row>
    <row r="225">
      <c r="A225" s="15" t="n"/>
      <c r="B225" s="15" t="n"/>
      <c r="C225" s="15" t="n"/>
      <c r="D225" s="15" t="n"/>
      <c r="E225" s="15" t="n"/>
      <c r="F225" s="15" t="n"/>
      <c r="G225" s="15" t="n"/>
      <c r="H225" s="15" t="n"/>
      <c r="I225" s="15" t="n"/>
      <c r="J225" s="15" t="n"/>
      <c r="K225" s="15" t="n"/>
      <c r="L225" s="15" t="n"/>
      <c r="M225" s="15" t="n"/>
      <c r="N225" s="15" t="n"/>
      <c r="O225" s="15" t="n"/>
    </row>
    <row r="226">
      <c r="A226" s="15" t="n"/>
      <c r="B226" s="15" t="n"/>
      <c r="C226" s="15" t="n"/>
      <c r="D226" s="15" t="n"/>
      <c r="E226" s="15" t="n"/>
      <c r="F226" s="15" t="n"/>
      <c r="G226" s="15" t="n"/>
      <c r="H226" s="15" t="n"/>
      <c r="I226" s="15" t="n"/>
      <c r="J226" s="15" t="n"/>
      <c r="K226" s="15" t="n"/>
      <c r="L226" s="15" t="n"/>
      <c r="M226" s="15" t="n"/>
      <c r="N226" s="15" t="n"/>
      <c r="O226" s="15" t="n"/>
    </row>
    <row r="227">
      <c r="A227" s="15" t="n"/>
      <c r="B227" s="15" t="n"/>
      <c r="C227" s="15" t="n"/>
      <c r="D227" s="15" t="n"/>
      <c r="E227" s="15" t="n"/>
      <c r="F227" s="15" t="n"/>
      <c r="G227" s="15" t="n"/>
      <c r="H227" s="15" t="n"/>
      <c r="I227" s="15" t="n"/>
      <c r="J227" s="15" t="n"/>
      <c r="K227" s="15" t="n"/>
      <c r="L227" s="15" t="n"/>
      <c r="M227" s="15" t="n"/>
      <c r="N227" s="15" t="n"/>
      <c r="O227" s="15" t="n"/>
    </row>
    <row r="228">
      <c r="A228" s="15" t="n"/>
      <c r="B228" s="15" t="n"/>
      <c r="C228" s="15" t="n"/>
      <c r="D228" s="15" t="n"/>
      <c r="E228" s="15" t="n"/>
      <c r="F228" s="15" t="n"/>
      <c r="G228" s="15" t="n"/>
      <c r="H228" s="15" t="n"/>
      <c r="I228" s="15" t="n"/>
      <c r="J228" s="15" t="n"/>
      <c r="K228" s="15" t="n"/>
      <c r="L228" s="15" t="n"/>
      <c r="M228" s="15" t="n"/>
      <c r="N228" s="15" t="n"/>
      <c r="O228" s="15" t="n"/>
    </row>
    <row r="229">
      <c r="A229" s="15" t="n"/>
      <c r="B229" s="15" t="n"/>
      <c r="C229" s="15" t="n"/>
      <c r="D229" s="15" t="n"/>
      <c r="E229" s="15" t="n"/>
      <c r="F229" s="15" t="n"/>
      <c r="G229" s="15" t="n"/>
      <c r="H229" s="15" t="n"/>
      <c r="I229" s="15" t="n"/>
      <c r="J229" s="15" t="n"/>
      <c r="K229" s="15" t="n"/>
      <c r="L229" s="15" t="n"/>
      <c r="M229" s="15" t="n"/>
      <c r="N229" s="15" t="n"/>
      <c r="O229" s="15" t="n"/>
    </row>
    <row r="230">
      <c r="A230" s="15" t="n"/>
      <c r="B230" s="15" t="n"/>
      <c r="C230" s="15" t="n"/>
      <c r="D230" s="15" t="n"/>
      <c r="E230" s="15" t="n"/>
      <c r="F230" s="15" t="n"/>
      <c r="G230" s="15" t="n"/>
      <c r="H230" s="15" t="n"/>
      <c r="I230" s="15" t="n"/>
      <c r="J230" s="15" t="n"/>
      <c r="K230" s="15" t="n"/>
      <c r="L230" s="15" t="n"/>
      <c r="M230" s="15" t="n"/>
      <c r="N230" s="15" t="n"/>
      <c r="O230" s="15" t="n"/>
    </row>
    <row r="231">
      <c r="A231" s="15" t="n"/>
      <c r="B231" s="15" t="n"/>
      <c r="C231" s="15" t="n"/>
      <c r="D231" s="15" t="n"/>
      <c r="E231" s="15" t="n"/>
      <c r="F231" s="15" t="n"/>
      <c r="G231" s="15" t="n"/>
      <c r="H231" s="15" t="n"/>
      <c r="I231" s="15" t="n"/>
      <c r="J231" s="15" t="n"/>
      <c r="K231" s="15" t="n"/>
      <c r="L231" s="15" t="n"/>
      <c r="M231" s="15" t="n"/>
      <c r="N231" s="15" t="n"/>
      <c r="O231" s="15" t="n"/>
    </row>
    <row r="232">
      <c r="A232" s="15" t="n"/>
      <c r="B232" s="15" t="n"/>
      <c r="C232" s="15" t="n"/>
      <c r="D232" s="15" t="n"/>
      <c r="E232" s="15" t="n"/>
      <c r="F232" s="15" t="n"/>
      <c r="G232" s="15" t="n"/>
      <c r="H232" s="15" t="n"/>
      <c r="I232" s="15" t="n"/>
      <c r="J232" s="15" t="n"/>
      <c r="K232" s="15" t="n"/>
      <c r="L232" s="15" t="n"/>
      <c r="M232" s="15" t="n"/>
      <c r="N232" s="15" t="n"/>
      <c r="O232" s="15" t="n"/>
    </row>
    <row r="233">
      <c r="A233" s="15" t="n"/>
      <c r="B233" s="15" t="n"/>
      <c r="C233" s="15" t="n"/>
      <c r="D233" s="15" t="n"/>
      <c r="E233" s="15" t="n"/>
      <c r="F233" s="15" t="n"/>
      <c r="G233" s="15" t="n"/>
      <c r="H233" s="15" t="n"/>
      <c r="I233" s="15" t="n"/>
      <c r="J233" s="15" t="n"/>
      <c r="K233" s="15" t="n"/>
      <c r="L233" s="15" t="n"/>
      <c r="M233" s="15" t="n"/>
      <c r="N233" s="15" t="n"/>
      <c r="O233" s="15" t="n"/>
    </row>
    <row r="234">
      <c r="A234" s="15" t="n"/>
      <c r="B234" s="15" t="n"/>
      <c r="C234" s="15" t="n"/>
      <c r="D234" s="15" t="n"/>
      <c r="E234" s="15" t="n"/>
      <c r="F234" s="15" t="n"/>
      <c r="G234" s="15" t="n"/>
      <c r="H234" s="15" t="n"/>
      <c r="I234" s="15" t="n"/>
      <c r="J234" s="15" t="n"/>
      <c r="K234" s="15" t="n"/>
      <c r="L234" s="15" t="n"/>
      <c r="M234" s="15" t="n"/>
      <c r="N234" s="15" t="n"/>
      <c r="O234" s="15" t="n"/>
    </row>
    <row r="235">
      <c r="A235" s="15" t="n"/>
      <c r="B235" s="15" t="n"/>
      <c r="C235" s="15" t="n"/>
      <c r="D235" s="15" t="n"/>
      <c r="E235" s="15" t="n"/>
      <c r="F235" s="15" t="n"/>
      <c r="G235" s="15" t="n"/>
      <c r="H235" s="15" t="n"/>
      <c r="I235" s="15" t="n"/>
      <c r="J235" s="15" t="n"/>
      <c r="K235" s="15" t="n"/>
      <c r="L235" s="15" t="n"/>
      <c r="M235" s="15" t="n"/>
      <c r="N235" s="15" t="n"/>
      <c r="O235" s="15" t="n"/>
    </row>
    <row r="236">
      <c r="A236" s="15" t="n"/>
      <c r="B236" s="15" t="n"/>
      <c r="C236" s="15" t="n"/>
      <c r="D236" s="15" t="n"/>
      <c r="E236" s="15" t="n"/>
      <c r="F236" s="15" t="n"/>
      <c r="G236" s="15" t="n"/>
      <c r="H236" s="15" t="n"/>
      <c r="I236" s="15" t="n"/>
      <c r="J236" s="15" t="n"/>
      <c r="K236" s="15" t="n"/>
      <c r="L236" s="15" t="n"/>
      <c r="M236" s="15" t="n"/>
      <c r="N236" s="15" t="n"/>
      <c r="O236" s="15" t="n"/>
    </row>
    <row r="237">
      <c r="A237" s="15" t="n"/>
      <c r="B237" s="15" t="n"/>
      <c r="C237" s="15" t="n"/>
      <c r="D237" s="15" t="n"/>
      <c r="E237" s="15" t="n"/>
      <c r="F237" s="15" t="n"/>
      <c r="G237" s="15" t="n"/>
      <c r="H237" s="15" t="n"/>
      <c r="I237" s="15" t="n"/>
      <c r="J237" s="15" t="n"/>
      <c r="K237" s="15" t="n"/>
      <c r="L237" s="15" t="n"/>
      <c r="M237" s="15" t="n"/>
      <c r="N237" s="15" t="n"/>
      <c r="O237" s="15" t="n"/>
    </row>
    <row r="238">
      <c r="A238" s="15" t="n"/>
      <c r="B238" s="15" t="n"/>
      <c r="C238" s="15" t="n"/>
      <c r="D238" s="15" t="n"/>
      <c r="E238" s="15" t="n"/>
      <c r="F238" s="15" t="n"/>
      <c r="G238" s="15" t="n"/>
      <c r="H238" s="15" t="n"/>
      <c r="I238" s="15" t="n"/>
      <c r="J238" s="15" t="n"/>
      <c r="K238" s="15" t="n"/>
      <c r="L238" s="15" t="n"/>
      <c r="M238" s="15" t="n"/>
      <c r="N238" s="15" t="n"/>
      <c r="O238" s="15" t="n"/>
    </row>
    <row r="239">
      <c r="A239" s="15" t="n"/>
      <c r="B239" s="15" t="n"/>
      <c r="C239" s="15" t="n"/>
      <c r="D239" s="15" t="n"/>
      <c r="E239" s="15" t="n"/>
      <c r="F239" s="15" t="n"/>
      <c r="G239" s="15" t="n"/>
      <c r="H239" s="15" t="n"/>
      <c r="I239" s="15" t="n"/>
      <c r="J239" s="15" t="n"/>
      <c r="K239" s="15" t="n"/>
      <c r="L239" s="15" t="n"/>
      <c r="M239" s="15" t="n"/>
      <c r="N239" s="15" t="n"/>
      <c r="O239" s="15" t="n"/>
    </row>
    <row r="240">
      <c r="A240" s="15" t="n"/>
      <c r="B240" s="15" t="n"/>
      <c r="C240" s="15" t="n"/>
      <c r="D240" s="15" t="n"/>
      <c r="E240" s="15" t="n"/>
      <c r="F240" s="15" t="n"/>
      <c r="G240" s="15" t="n"/>
      <c r="H240" s="15" t="n"/>
      <c r="I240" s="15" t="n"/>
      <c r="J240" s="15" t="n"/>
      <c r="K240" s="15" t="n"/>
      <c r="L240" s="15" t="n"/>
      <c r="M240" s="15" t="n"/>
      <c r="N240" s="15" t="n"/>
      <c r="O240" s="15" t="n"/>
    </row>
    <row r="241">
      <c r="A241" s="15" t="n"/>
      <c r="B241" s="15" t="n"/>
      <c r="C241" s="15" t="n"/>
      <c r="D241" s="15" t="n"/>
      <c r="E241" s="15" t="n"/>
      <c r="F241" s="15" t="n"/>
      <c r="G241" s="15" t="n"/>
      <c r="H241" s="15" t="n"/>
      <c r="I241" s="15" t="n"/>
      <c r="J241" s="15" t="n"/>
      <c r="K241" s="15" t="n"/>
      <c r="L241" s="15" t="n"/>
      <c r="M241" s="15" t="n"/>
      <c r="N241" s="15" t="n"/>
      <c r="O241" s="15" t="n"/>
    </row>
    <row r="242">
      <c r="A242" s="15" t="n"/>
      <c r="B242" s="15" t="n"/>
      <c r="C242" s="15" t="n"/>
      <c r="D242" s="15" t="n"/>
      <c r="E242" s="15" t="n"/>
      <c r="F242" s="15" t="n"/>
      <c r="G242" s="15" t="n"/>
      <c r="H242" s="15" t="n"/>
      <c r="I242" s="15" t="n"/>
      <c r="J242" s="15" t="n"/>
      <c r="K242" s="15" t="n"/>
      <c r="L242" s="15" t="n"/>
      <c r="M242" s="15" t="n"/>
      <c r="N242" s="15" t="n"/>
      <c r="O242" s="15" t="n"/>
    </row>
    <row r="243">
      <c r="A243" s="15" t="n"/>
      <c r="B243" s="15" t="n"/>
      <c r="C243" s="15" t="n"/>
      <c r="D243" s="15" t="n"/>
      <c r="E243" s="15" t="n"/>
      <c r="F243" s="15" t="n"/>
      <c r="G243" s="15" t="n"/>
      <c r="H243" s="15" t="n"/>
      <c r="I243" s="15" t="n"/>
      <c r="J243" s="15" t="n"/>
      <c r="K243" s="15" t="n"/>
      <c r="L243" s="15" t="n"/>
      <c r="M243" s="15" t="n"/>
      <c r="N243" s="15" t="n"/>
      <c r="O243" s="15" t="n"/>
    </row>
    <row r="244">
      <c r="A244" s="15" t="n"/>
      <c r="B244" s="15" t="n"/>
      <c r="C244" s="15" t="n"/>
      <c r="D244" s="15" t="n"/>
      <c r="E244" s="15" t="n"/>
      <c r="F244" s="15" t="n"/>
      <c r="G244" s="15" t="n"/>
      <c r="H244" s="15" t="n"/>
      <c r="I244" s="15" t="n"/>
      <c r="J244" s="15" t="n"/>
      <c r="K244" s="15" t="n"/>
      <c r="L244" s="15" t="n"/>
      <c r="M244" s="15" t="n"/>
      <c r="N244" s="15" t="n"/>
      <c r="O244" s="15" t="n"/>
    </row>
    <row r="245">
      <c r="A245" s="15" t="n"/>
      <c r="B245" s="15" t="n"/>
      <c r="C245" s="15" t="n"/>
      <c r="D245" s="15" t="n"/>
      <c r="E245" s="15" t="n"/>
      <c r="F245" s="15" t="n"/>
      <c r="G245" s="15" t="n"/>
      <c r="H245" s="15" t="n"/>
      <c r="I245" s="15" t="n"/>
      <c r="J245" s="15" t="n"/>
      <c r="K245" s="15" t="n"/>
      <c r="L245" s="15" t="n"/>
      <c r="M245" s="15" t="n"/>
      <c r="N245" s="15" t="n"/>
      <c r="O245" s="15" t="n"/>
    </row>
    <row r="246">
      <c r="A246" s="15" t="n"/>
      <c r="B246" s="15" t="n"/>
      <c r="C246" s="15" t="n"/>
      <c r="D246" s="15" t="n"/>
      <c r="E246" s="15" t="n"/>
      <c r="F246" s="15" t="n"/>
      <c r="G246" s="15" t="n"/>
      <c r="H246" s="15" t="n"/>
      <c r="I246" s="15" t="n"/>
      <c r="J246" s="15" t="n"/>
      <c r="K246" s="15" t="n"/>
      <c r="L246" s="15" t="n"/>
      <c r="M246" s="15" t="n"/>
      <c r="N246" s="15" t="n"/>
      <c r="O246" s="15" t="n"/>
    </row>
    <row r="247">
      <c r="A247" s="15" t="n"/>
      <c r="B247" s="15" t="n"/>
      <c r="C247" s="15" t="n"/>
      <c r="D247" s="15" t="n"/>
      <c r="E247" s="15" t="n"/>
      <c r="F247" s="15" t="n"/>
      <c r="G247" s="15" t="n"/>
      <c r="H247" s="15" t="n"/>
      <c r="I247" s="15" t="n"/>
      <c r="J247" s="15" t="n"/>
      <c r="K247" s="15" t="n"/>
      <c r="L247" s="15" t="n"/>
      <c r="M247" s="15" t="n"/>
      <c r="N247" s="15" t="n"/>
      <c r="O247" s="15" t="n"/>
    </row>
    <row r="248">
      <c r="A248" s="15" t="n"/>
      <c r="B248" s="15" t="n"/>
      <c r="C248" s="15" t="n"/>
      <c r="D248" s="15" t="n"/>
      <c r="E248" s="15" t="n"/>
      <c r="F248" s="15" t="n"/>
      <c r="G248" s="15" t="n"/>
      <c r="H248" s="15" t="n"/>
      <c r="I248" s="15" t="n"/>
      <c r="J248" s="15" t="n"/>
      <c r="K248" s="15" t="n"/>
      <c r="L248" s="15" t="n"/>
      <c r="M248" s="15" t="n"/>
      <c r="N248" s="15" t="n"/>
      <c r="O248" s="15" t="n"/>
    </row>
    <row r="249">
      <c r="A249" s="15" t="n"/>
      <c r="B249" s="15" t="n"/>
      <c r="C249" s="15" t="n"/>
      <c r="D249" s="15" t="n"/>
      <c r="E249" s="15" t="n"/>
      <c r="F249" s="15" t="n"/>
      <c r="G249" s="15" t="n"/>
      <c r="H249" s="15" t="n"/>
      <c r="I249" s="15" t="n"/>
      <c r="J249" s="15" t="n"/>
      <c r="K249" s="15" t="n"/>
      <c r="L249" s="15" t="n"/>
      <c r="M249" s="15" t="n"/>
      <c r="N249" s="15" t="n"/>
      <c r="O249" s="15" t="n"/>
    </row>
    <row r="250">
      <c r="A250" s="15" t="n"/>
      <c r="B250" s="15" t="n"/>
      <c r="C250" s="15" t="n"/>
      <c r="D250" s="15" t="n"/>
      <c r="E250" s="15" t="n"/>
      <c r="F250" s="15" t="n"/>
      <c r="G250" s="15" t="n"/>
      <c r="H250" s="15" t="n"/>
      <c r="I250" s="15" t="n"/>
      <c r="J250" s="15" t="n"/>
      <c r="K250" s="15" t="n"/>
      <c r="L250" s="15" t="n"/>
      <c r="M250" s="15" t="n"/>
      <c r="N250" s="15" t="n"/>
      <c r="O250" s="15" t="n"/>
    </row>
    <row r="251">
      <c r="A251" s="15" t="n"/>
      <c r="B251" s="15" t="n"/>
      <c r="C251" s="15" t="n"/>
      <c r="D251" s="15" t="n"/>
      <c r="E251" s="15" t="n"/>
      <c r="F251" s="15" t="n"/>
      <c r="G251" s="15" t="n"/>
      <c r="H251" s="15" t="n"/>
      <c r="I251" s="15" t="n"/>
      <c r="J251" s="15" t="n"/>
      <c r="K251" s="15" t="n"/>
      <c r="L251" s="15" t="n"/>
      <c r="M251" s="15" t="n"/>
      <c r="N251" s="15" t="n"/>
      <c r="O251" s="15" t="n"/>
    </row>
    <row r="252">
      <c r="A252" s="15" t="n"/>
      <c r="B252" s="15" t="n"/>
      <c r="C252" s="15" t="n"/>
      <c r="D252" s="15" t="n"/>
      <c r="E252" s="15" t="n"/>
      <c r="F252" s="15" t="n"/>
      <c r="G252" s="15" t="n"/>
      <c r="H252" s="15" t="n"/>
      <c r="I252" s="15" t="n"/>
      <c r="J252" s="15" t="n"/>
      <c r="K252" s="15" t="n"/>
      <c r="L252" s="15" t="n"/>
      <c r="M252" s="15" t="n"/>
      <c r="N252" s="15" t="n"/>
      <c r="O252" s="15" t="n"/>
    </row>
    <row r="253">
      <c r="A253" s="15" t="n"/>
      <c r="B253" s="15" t="n"/>
      <c r="C253" s="15" t="n"/>
      <c r="D253" s="15" t="n"/>
      <c r="E253" s="15" t="n"/>
      <c r="F253" s="15" t="n"/>
      <c r="G253" s="15" t="n"/>
      <c r="H253" s="15" t="n"/>
      <c r="I253" s="15" t="n"/>
      <c r="J253" s="15" t="n"/>
      <c r="K253" s="15" t="n"/>
      <c r="L253" s="15" t="n"/>
      <c r="M253" s="15" t="n"/>
      <c r="N253" s="15" t="n"/>
      <c r="O253" s="15" t="n"/>
    </row>
    <row r="254">
      <c r="A254" s="15" t="n"/>
      <c r="B254" s="15" t="n"/>
      <c r="C254" s="15" t="n"/>
      <c r="D254" s="15" t="n"/>
      <c r="E254" s="15" t="n"/>
      <c r="F254" s="15" t="n"/>
      <c r="G254" s="15" t="n"/>
      <c r="H254" s="15" t="n"/>
      <c r="I254" s="15" t="n"/>
      <c r="J254" s="15" t="n"/>
      <c r="K254" s="15" t="n"/>
      <c r="L254" s="15" t="n"/>
      <c r="M254" s="15" t="n"/>
      <c r="N254" s="15" t="n"/>
      <c r="O254" s="15" t="n"/>
    </row>
    <row r="255">
      <c r="A255" s="15" t="n"/>
      <c r="B255" s="15" t="n"/>
      <c r="C255" s="15" t="n"/>
      <c r="D255" s="15" t="n"/>
      <c r="E255" s="15" t="n"/>
      <c r="F255" s="15" t="n"/>
      <c r="G255" s="15" t="n"/>
      <c r="H255" s="15" t="n"/>
      <c r="I255" s="15" t="n"/>
      <c r="J255" s="15" t="n"/>
      <c r="K255" s="15" t="n"/>
      <c r="L255" s="15" t="n"/>
      <c r="M255" s="15" t="n"/>
      <c r="N255" s="15" t="n"/>
      <c r="O255" s="15" t="n"/>
    </row>
    <row r="256">
      <c r="A256" s="15" t="n"/>
      <c r="B256" s="15" t="n"/>
      <c r="C256" s="15" t="n"/>
      <c r="D256" s="15" t="n"/>
      <c r="E256" s="15" t="n"/>
      <c r="F256" s="15" t="n"/>
      <c r="G256" s="15" t="n"/>
      <c r="H256" s="15" t="n"/>
      <c r="I256" s="15" t="n"/>
      <c r="J256" s="15" t="n"/>
      <c r="K256" s="15" t="n"/>
      <c r="L256" s="15" t="n"/>
      <c r="M256" s="15" t="n"/>
      <c r="N256" s="15" t="n"/>
      <c r="O256" s="15" t="n"/>
    </row>
    <row r="257">
      <c r="A257" s="15" t="n"/>
      <c r="B257" s="15" t="n"/>
      <c r="C257" s="15" t="n"/>
      <c r="D257" s="15" t="n"/>
      <c r="E257" s="15" t="n"/>
      <c r="F257" s="15" t="n"/>
      <c r="G257" s="15" t="n"/>
      <c r="H257" s="15" t="n"/>
      <c r="I257" s="15" t="n"/>
      <c r="J257" s="15" t="n"/>
      <c r="K257" s="15" t="n"/>
      <c r="L257" s="15" t="n"/>
      <c r="M257" s="15" t="n"/>
      <c r="N257" s="15" t="n"/>
      <c r="O257" s="15" t="n"/>
    </row>
    <row r="258">
      <c r="A258" s="15" t="n"/>
      <c r="B258" s="15" t="n"/>
      <c r="C258" s="15" t="n"/>
      <c r="D258" s="15" t="n"/>
      <c r="E258" s="15" t="n"/>
      <c r="F258" s="15" t="n"/>
      <c r="G258" s="15" t="n"/>
      <c r="H258" s="15" t="n"/>
      <c r="I258" s="15" t="n"/>
      <c r="J258" s="15" t="n"/>
      <c r="K258" s="15" t="n"/>
      <c r="L258" s="15" t="n"/>
      <c r="M258" s="15" t="n"/>
      <c r="N258" s="15" t="n"/>
      <c r="O258" s="15" t="n"/>
    </row>
    <row r="259">
      <c r="A259" s="15" t="n"/>
      <c r="B259" s="15" t="n"/>
      <c r="C259" s="15" t="n"/>
      <c r="D259" s="15" t="n"/>
      <c r="E259" s="15" t="n"/>
      <c r="F259" s="15" t="n"/>
      <c r="G259" s="15" t="n"/>
      <c r="H259" s="15" t="n"/>
      <c r="I259" s="15" t="n"/>
      <c r="J259" s="15" t="n"/>
      <c r="K259" s="15" t="n"/>
      <c r="L259" s="15" t="n"/>
      <c r="M259" s="15" t="n"/>
      <c r="N259" s="15" t="n"/>
      <c r="O259" s="15" t="n"/>
    </row>
    <row r="260">
      <c r="A260" s="15" t="n"/>
      <c r="B260" s="15" t="n"/>
      <c r="C260" s="15" t="n"/>
      <c r="D260" s="15" t="n"/>
      <c r="E260" s="15" t="n"/>
      <c r="F260" s="15" t="n"/>
      <c r="G260" s="15" t="n"/>
      <c r="H260" s="15" t="n"/>
      <c r="I260" s="15" t="n"/>
      <c r="J260" s="15" t="n"/>
      <c r="K260" s="15" t="n"/>
      <c r="L260" s="15" t="n"/>
      <c r="M260" s="15" t="n"/>
      <c r="N260" s="15" t="n"/>
      <c r="O260" s="15" t="n"/>
    </row>
    <row r="261">
      <c r="A261" s="15" t="n"/>
      <c r="B261" s="15" t="n"/>
      <c r="C261" s="15" t="n"/>
      <c r="D261" s="15" t="n"/>
      <c r="E261" s="15" t="n"/>
      <c r="F261" s="15" t="n"/>
      <c r="G261" s="15" t="n"/>
      <c r="H261" s="15" t="n"/>
      <c r="I261" s="15" t="n"/>
      <c r="J261" s="15" t="n"/>
      <c r="K261" s="15" t="n"/>
      <c r="L261" s="15" t="n"/>
      <c r="M261" s="15" t="n"/>
      <c r="N261" s="15" t="n"/>
      <c r="O261" s="15" t="n"/>
    </row>
    <row r="262">
      <c r="A262" s="15" t="n"/>
      <c r="B262" s="15" t="n"/>
      <c r="C262" s="15" t="n"/>
      <c r="D262" s="15" t="n"/>
      <c r="E262" s="15" t="n"/>
      <c r="F262" s="15" t="n"/>
      <c r="G262" s="15" t="n"/>
      <c r="H262" s="15" t="n"/>
      <c r="I262" s="15" t="n"/>
      <c r="J262" s="15" t="n"/>
      <c r="K262" s="15" t="n"/>
      <c r="L262" s="15" t="n"/>
      <c r="M262" s="15" t="n"/>
      <c r="N262" s="15" t="n"/>
      <c r="O262" s="15" t="n"/>
    </row>
    <row r="263">
      <c r="A263" s="15" t="n"/>
      <c r="B263" s="15" t="n"/>
      <c r="C263" s="15" t="n"/>
      <c r="D263" s="15" t="n"/>
      <c r="E263" s="15" t="n"/>
      <c r="F263" s="15" t="n"/>
      <c r="G263" s="15" t="n"/>
      <c r="H263" s="15" t="n"/>
      <c r="I263" s="15" t="n"/>
      <c r="J263" s="15" t="n"/>
      <c r="K263" s="15" t="n"/>
      <c r="L263" s="15" t="n"/>
      <c r="M263" s="15" t="n"/>
      <c r="N263" s="15" t="n"/>
      <c r="O263" s="15" t="n"/>
    </row>
    <row r="264">
      <c r="A264" s="15" t="n"/>
      <c r="B264" s="15" t="n"/>
      <c r="C264" s="15" t="n"/>
      <c r="D264" s="15" t="n"/>
      <c r="E264" s="15" t="n"/>
      <c r="F264" s="15" t="n"/>
      <c r="G264" s="15" t="n"/>
      <c r="H264" s="15" t="n"/>
      <c r="I264" s="15" t="n"/>
      <c r="J264" s="15" t="n"/>
      <c r="K264" s="15" t="n"/>
      <c r="L264" s="15" t="n"/>
      <c r="M264" s="15" t="n"/>
      <c r="N264" s="15" t="n"/>
      <c r="O264" s="15" t="n"/>
    </row>
    <row r="265">
      <c r="A265" s="15" t="n"/>
      <c r="B265" s="15" t="n"/>
      <c r="C265" s="15" t="n"/>
      <c r="D265" s="15" t="n"/>
      <c r="E265" s="15" t="n"/>
      <c r="F265" s="15" t="n"/>
      <c r="G265" s="15" t="n"/>
      <c r="H265" s="15" t="n"/>
      <c r="I265" s="15" t="n"/>
      <c r="J265" s="15" t="n"/>
      <c r="K265" s="15" t="n"/>
      <c r="L265" s="15" t="n"/>
      <c r="M265" s="15" t="n"/>
      <c r="N265" s="15" t="n"/>
      <c r="O265" s="15" t="n"/>
    </row>
    <row r="266">
      <c r="A266" s="15" t="n"/>
      <c r="B266" s="15" t="n"/>
      <c r="C266" s="15" t="n"/>
      <c r="D266" s="15" t="n"/>
      <c r="E266" s="15" t="n"/>
      <c r="F266" s="15" t="n"/>
      <c r="G266" s="15" t="n"/>
      <c r="H266" s="15" t="n"/>
      <c r="I266" s="15" t="n"/>
      <c r="J266" s="15" t="n"/>
      <c r="K266" s="15" t="n"/>
      <c r="L266" s="15" t="n"/>
      <c r="M266" s="15" t="n"/>
      <c r="N266" s="15" t="n"/>
      <c r="O266" s="15" t="n"/>
    </row>
    <row r="267">
      <c r="A267" s="15" t="n"/>
      <c r="B267" s="15" t="n"/>
      <c r="C267" s="15" t="n"/>
      <c r="D267" s="15" t="n"/>
      <c r="E267" s="15" t="n"/>
      <c r="F267" s="15" t="n"/>
      <c r="G267" s="15" t="n"/>
      <c r="H267" s="15" t="n"/>
      <c r="I267" s="15" t="n"/>
      <c r="J267" s="15" t="n"/>
      <c r="K267" s="15" t="n"/>
      <c r="L267" s="15" t="n"/>
      <c r="M267" s="15" t="n"/>
      <c r="N267" s="15" t="n"/>
      <c r="O267" s="15" t="n"/>
    </row>
    <row r="268">
      <c r="A268" s="15" t="n"/>
      <c r="B268" s="15" t="n"/>
      <c r="C268" s="15" t="n"/>
      <c r="D268" s="15" t="n"/>
      <c r="E268" s="15" t="n"/>
      <c r="F268" s="15" t="n"/>
      <c r="G268" s="15" t="n"/>
      <c r="H268" s="15" t="n"/>
      <c r="I268" s="15" t="n"/>
      <c r="J268" s="15" t="n"/>
      <c r="K268" s="15" t="n"/>
      <c r="L268" s="15" t="n"/>
      <c r="M268" s="15" t="n"/>
      <c r="N268" s="15" t="n"/>
      <c r="O268" s="15" t="n"/>
    </row>
    <row r="269">
      <c r="A269" s="15" t="n"/>
      <c r="B269" s="15" t="n"/>
      <c r="C269" s="15" t="n"/>
      <c r="D269" s="15" t="n"/>
      <c r="E269" s="15" t="n"/>
      <c r="F269" s="15" t="n"/>
      <c r="G269" s="15" t="n"/>
      <c r="H269" s="15" t="n"/>
      <c r="I269" s="15" t="n"/>
      <c r="J269" s="15" t="n"/>
      <c r="K269" s="15" t="n"/>
      <c r="L269" s="15" t="n"/>
      <c r="M269" s="15" t="n"/>
      <c r="N269" s="15" t="n"/>
      <c r="O269" s="15" t="n"/>
    </row>
    <row r="270">
      <c r="A270" s="15" t="n"/>
      <c r="B270" s="15" t="n"/>
      <c r="C270" s="15" t="n"/>
      <c r="D270" s="15" t="n"/>
      <c r="E270" s="15" t="n"/>
      <c r="F270" s="15" t="n"/>
      <c r="G270" s="15" t="n"/>
      <c r="H270" s="15" t="n"/>
      <c r="I270" s="15" t="n"/>
      <c r="J270" s="15" t="n"/>
      <c r="K270" s="15" t="n"/>
      <c r="L270" s="15" t="n"/>
      <c r="M270" s="15" t="n"/>
      <c r="N270" s="15" t="n"/>
      <c r="O270" s="15" t="n"/>
    </row>
    <row r="271">
      <c r="A271" s="15" t="n"/>
      <c r="B271" s="15" t="n"/>
      <c r="C271" s="15" t="n"/>
      <c r="D271" s="15" t="n"/>
      <c r="E271" s="15" t="n"/>
      <c r="F271" s="15" t="n"/>
      <c r="G271" s="15" t="n"/>
      <c r="H271" s="15" t="n"/>
      <c r="I271" s="15" t="n"/>
      <c r="J271" s="15" t="n"/>
      <c r="K271" s="15" t="n"/>
      <c r="L271" s="15" t="n"/>
      <c r="M271" s="15" t="n"/>
      <c r="N271" s="15" t="n"/>
      <c r="O271" s="15" t="n"/>
    </row>
    <row r="272">
      <c r="A272" s="15" t="n"/>
      <c r="B272" s="15" t="n"/>
      <c r="C272" s="15" t="n"/>
      <c r="D272" s="15" t="n"/>
      <c r="E272" s="15" t="n"/>
      <c r="F272" s="15" t="n"/>
      <c r="G272" s="15" t="n"/>
      <c r="H272" s="15" t="n"/>
      <c r="I272" s="15" t="n"/>
      <c r="J272" s="15" t="n"/>
      <c r="K272" s="15" t="n"/>
      <c r="L272" s="15" t="n"/>
      <c r="M272" s="15" t="n"/>
      <c r="N272" s="15" t="n"/>
      <c r="O272" s="15" t="n"/>
    </row>
    <row r="273">
      <c r="A273" s="15" t="n"/>
      <c r="B273" s="15" t="n"/>
      <c r="C273" s="15" t="n"/>
      <c r="D273" s="15" t="n"/>
      <c r="E273" s="15" t="n"/>
      <c r="F273" s="15" t="n"/>
      <c r="G273" s="15" t="n"/>
      <c r="H273" s="15" t="n"/>
      <c r="I273" s="15" t="n"/>
      <c r="J273" s="15" t="n"/>
      <c r="K273" s="15" t="n"/>
      <c r="L273" s="15" t="n"/>
      <c r="M273" s="15" t="n"/>
      <c r="N273" s="15" t="n"/>
      <c r="O273" s="15" t="n"/>
    </row>
    <row r="274">
      <c r="A274" s="15" t="n"/>
      <c r="B274" s="15" t="n"/>
      <c r="C274" s="15" t="n"/>
      <c r="D274" s="15" t="n"/>
      <c r="E274" s="15" t="n"/>
      <c r="F274" s="15" t="n"/>
      <c r="G274" s="15" t="n"/>
      <c r="H274" s="15" t="n"/>
      <c r="I274" s="15" t="n"/>
      <c r="J274" s="15" t="n"/>
      <c r="K274" s="15" t="n"/>
      <c r="L274" s="15" t="n"/>
      <c r="M274" s="15" t="n"/>
      <c r="N274" s="15" t="n"/>
      <c r="O274" s="15" t="n"/>
    </row>
    <row r="275">
      <c r="A275" s="15" t="n"/>
      <c r="B275" s="15" t="n"/>
      <c r="C275" s="15" t="n"/>
      <c r="D275" s="15" t="n"/>
      <c r="E275" s="15" t="n"/>
      <c r="F275" s="15" t="n"/>
      <c r="G275" s="15" t="n"/>
      <c r="H275" s="15" t="n"/>
      <c r="I275" s="15" t="n"/>
      <c r="J275" s="15" t="n"/>
      <c r="K275" s="15" t="n"/>
      <c r="L275" s="15" t="n"/>
      <c r="M275" s="15" t="n"/>
      <c r="N275" s="15" t="n"/>
      <c r="O275" s="15" t="n"/>
    </row>
    <row r="276">
      <c r="A276" s="15" t="n"/>
      <c r="B276" s="15" t="n"/>
      <c r="C276" s="15" t="n"/>
      <c r="D276" s="15" t="n"/>
      <c r="E276" s="15" t="n"/>
      <c r="F276" s="15" t="n"/>
      <c r="G276" s="15" t="n"/>
      <c r="H276" s="15" t="n"/>
      <c r="I276" s="15" t="n"/>
      <c r="J276" s="15" t="n"/>
      <c r="K276" s="15" t="n"/>
      <c r="L276" s="15" t="n"/>
      <c r="M276" s="15" t="n"/>
      <c r="N276" s="15" t="n"/>
      <c r="O276" s="15" t="n"/>
    </row>
    <row r="277">
      <c r="A277" s="15" t="n"/>
      <c r="B277" s="15" t="n"/>
      <c r="C277" s="15" t="n"/>
      <c r="D277" s="15" t="n"/>
      <c r="E277" s="15" t="n"/>
      <c r="F277" s="15" t="n"/>
      <c r="G277" s="15" t="n"/>
      <c r="H277" s="15" t="n"/>
      <c r="I277" s="15" t="n"/>
      <c r="J277" s="15" t="n"/>
      <c r="K277" s="15" t="n"/>
      <c r="L277" s="15" t="n"/>
      <c r="M277" s="15" t="n"/>
      <c r="N277" s="15" t="n"/>
      <c r="O277" s="15" t="n"/>
    </row>
    <row r="278">
      <c r="A278" s="15" t="n"/>
      <c r="B278" s="15" t="n"/>
      <c r="C278" s="15" t="n"/>
      <c r="D278" s="15" t="n"/>
      <c r="E278" s="15" t="n"/>
      <c r="F278" s="15" t="n"/>
      <c r="G278" s="15" t="n"/>
      <c r="H278" s="15" t="n"/>
      <c r="I278" s="15" t="n"/>
      <c r="J278" s="15" t="n"/>
      <c r="K278" s="15" t="n"/>
      <c r="L278" s="15" t="n"/>
      <c r="M278" s="15" t="n"/>
      <c r="N278" s="15" t="n"/>
      <c r="O278" s="15" t="n"/>
    </row>
    <row r="279">
      <c r="A279" s="15" t="n"/>
      <c r="B279" s="15" t="n"/>
      <c r="C279" s="15" t="n"/>
      <c r="D279" s="15" t="n"/>
      <c r="E279" s="15" t="n"/>
      <c r="F279" s="15" t="n"/>
      <c r="G279" s="15" t="n"/>
      <c r="H279" s="15" t="n"/>
      <c r="I279" s="15" t="n"/>
      <c r="J279" s="15" t="n"/>
      <c r="K279" s="15" t="n"/>
      <c r="L279" s="15" t="n"/>
      <c r="M279" s="15" t="n"/>
      <c r="N279" s="15" t="n"/>
      <c r="O279" s="15" t="n"/>
    </row>
    <row r="280">
      <c r="A280" s="15" t="n"/>
      <c r="B280" s="15" t="n"/>
      <c r="C280" s="15" t="n"/>
      <c r="D280" s="15" t="n"/>
      <c r="E280" s="15" t="n"/>
      <c r="F280" s="15" t="n"/>
      <c r="G280" s="15" t="n"/>
      <c r="H280" s="15" t="n"/>
      <c r="I280" s="15" t="n"/>
      <c r="J280" s="15" t="n"/>
      <c r="K280" s="15" t="n"/>
      <c r="L280" s="15" t="n"/>
      <c r="M280" s="15" t="n"/>
      <c r="N280" s="15" t="n"/>
      <c r="O280" s="15" t="n"/>
    </row>
    <row r="281">
      <c r="A281" s="15" t="n"/>
      <c r="B281" s="15" t="n"/>
      <c r="C281" s="15" t="n"/>
      <c r="D281" s="15" t="n"/>
      <c r="E281" s="15" t="n"/>
      <c r="F281" s="15" t="n"/>
      <c r="G281" s="15" t="n"/>
      <c r="H281" s="15" t="n"/>
      <c r="I281" s="15" t="n"/>
      <c r="J281" s="15" t="n"/>
      <c r="K281" s="15" t="n"/>
      <c r="L281" s="15" t="n"/>
      <c r="M281" s="15" t="n"/>
      <c r="N281" s="15" t="n"/>
      <c r="O281" s="15" t="n"/>
    </row>
    <row r="282">
      <c r="A282" s="15" t="n"/>
      <c r="B282" s="15" t="n"/>
      <c r="C282" s="15" t="n"/>
      <c r="D282" s="15" t="n"/>
      <c r="E282" s="15" t="n"/>
      <c r="F282" s="15" t="n"/>
      <c r="G282" s="15" t="n"/>
      <c r="H282" s="15" t="n"/>
      <c r="I282" s="15" t="n"/>
      <c r="J282" s="15" t="n"/>
      <c r="K282" s="15" t="n"/>
      <c r="L282" s="15" t="n"/>
      <c r="M282" s="15" t="n"/>
      <c r="N282" s="15" t="n"/>
      <c r="O282" s="15" t="n"/>
    </row>
    <row r="283">
      <c r="A283" s="15" t="n"/>
      <c r="B283" s="15" t="n"/>
      <c r="C283" s="15" t="n"/>
      <c r="D283" s="15" t="n"/>
      <c r="E283" s="15" t="n"/>
      <c r="F283" s="15" t="n"/>
      <c r="G283" s="15" t="n"/>
      <c r="H283" s="15" t="n"/>
      <c r="I283" s="15" t="n"/>
      <c r="J283" s="15" t="n"/>
      <c r="K283" s="15" t="n"/>
      <c r="L283" s="15" t="n"/>
      <c r="M283" s="15" t="n"/>
      <c r="N283" s="15" t="n"/>
      <c r="O283" s="15" t="n"/>
    </row>
    <row r="284">
      <c r="A284" s="15" t="n"/>
      <c r="B284" s="15" t="n"/>
      <c r="C284" s="15" t="n"/>
      <c r="D284" s="15" t="n"/>
      <c r="E284" s="15" t="n"/>
      <c r="F284" s="15" t="n"/>
      <c r="G284" s="15" t="n"/>
      <c r="H284" s="15" t="n"/>
      <c r="I284" s="15" t="n"/>
      <c r="J284" s="15" t="n"/>
      <c r="K284" s="15" t="n"/>
      <c r="L284" s="15" t="n"/>
      <c r="M284" s="15" t="n"/>
      <c r="N284" s="15" t="n"/>
      <c r="O284" s="15" t="n"/>
    </row>
    <row r="285">
      <c r="A285" s="15" t="n"/>
      <c r="B285" s="15" t="n"/>
      <c r="C285" s="15" t="n"/>
      <c r="D285" s="15" t="n"/>
      <c r="E285" s="15" t="n"/>
      <c r="F285" s="15" t="n"/>
      <c r="G285" s="15" t="n"/>
      <c r="H285" s="15" t="n"/>
      <c r="I285" s="15" t="n"/>
      <c r="J285" s="15" t="n"/>
      <c r="K285" s="15" t="n"/>
      <c r="L285" s="15" t="n"/>
      <c r="M285" s="15" t="n"/>
      <c r="N285" s="15" t="n"/>
      <c r="O285" s="15" t="n"/>
    </row>
    <row r="286">
      <c r="A286" s="15" t="n"/>
      <c r="B286" s="15" t="n"/>
      <c r="C286" s="15" t="n"/>
      <c r="D286" s="15" t="n"/>
      <c r="E286" s="15" t="n"/>
      <c r="F286" s="15" t="n"/>
      <c r="G286" s="15" t="n"/>
      <c r="H286" s="15" t="n"/>
      <c r="I286" s="15" t="n"/>
      <c r="J286" s="15" t="n"/>
      <c r="K286" s="15" t="n"/>
      <c r="L286" s="15" t="n"/>
      <c r="M286" s="15" t="n"/>
      <c r="N286" s="15" t="n"/>
      <c r="O286" s="15" t="n"/>
    </row>
    <row r="287">
      <c r="A287" s="15" t="n"/>
      <c r="B287" s="15" t="n"/>
      <c r="C287" s="15" t="n"/>
      <c r="D287" s="15" t="n"/>
      <c r="E287" s="15" t="n"/>
      <c r="F287" s="15" t="n"/>
      <c r="G287" s="15" t="n"/>
      <c r="H287" s="15" t="n"/>
      <c r="I287" s="15" t="n"/>
      <c r="J287" s="15" t="n"/>
      <c r="K287" s="15" t="n"/>
      <c r="L287" s="15" t="n"/>
      <c r="M287" s="15" t="n"/>
      <c r="N287" s="15" t="n"/>
      <c r="O287" s="15" t="n"/>
    </row>
    <row r="288">
      <c r="A288" s="15" t="n"/>
      <c r="B288" s="15" t="n"/>
      <c r="C288" s="15" t="n"/>
      <c r="D288" s="15" t="n"/>
      <c r="E288" s="15" t="n"/>
      <c r="F288" s="15" t="n"/>
      <c r="G288" s="15" t="n"/>
      <c r="H288" s="15" t="n"/>
      <c r="I288" s="15" t="n"/>
      <c r="J288" s="15" t="n"/>
      <c r="K288" s="15" t="n"/>
      <c r="L288" s="15" t="n"/>
      <c r="M288" s="15" t="n"/>
      <c r="N288" s="15" t="n"/>
      <c r="O288" s="15" t="n"/>
    </row>
    <row r="289">
      <c r="A289" s="15" t="n"/>
      <c r="B289" s="15" t="n"/>
      <c r="C289" s="15" t="n"/>
      <c r="D289" s="15" t="n"/>
      <c r="E289" s="15" t="n"/>
      <c r="F289" s="15" t="n"/>
      <c r="G289" s="15" t="n"/>
      <c r="H289" s="15" t="n"/>
      <c r="I289" s="15" t="n"/>
      <c r="J289" s="15" t="n"/>
      <c r="K289" s="15" t="n"/>
      <c r="L289" s="15" t="n"/>
      <c r="M289" s="15" t="n"/>
      <c r="N289" s="15" t="n"/>
      <c r="O289" s="15" t="n"/>
    </row>
    <row r="290">
      <c r="A290" s="15" t="n"/>
      <c r="B290" s="15" t="n"/>
      <c r="C290" s="15" t="n"/>
      <c r="D290" s="15" t="n"/>
      <c r="E290" s="15" t="n"/>
      <c r="F290" s="15" t="n"/>
      <c r="G290" s="15" t="n"/>
      <c r="H290" s="15" t="n"/>
      <c r="I290" s="15" t="n"/>
      <c r="J290" s="15" t="n"/>
      <c r="K290" s="15" t="n"/>
      <c r="L290" s="15" t="n"/>
      <c r="M290" s="15" t="n"/>
      <c r="N290" s="15" t="n"/>
      <c r="O290" s="15" t="n"/>
    </row>
    <row r="291">
      <c r="A291" s="15" t="n"/>
      <c r="B291" s="15" t="n"/>
      <c r="C291" s="15" t="n"/>
      <c r="D291" s="15" t="n"/>
      <c r="E291" s="15" t="n"/>
      <c r="F291" s="15" t="n"/>
      <c r="G291" s="15" t="n"/>
      <c r="H291" s="15" t="n"/>
      <c r="I291" s="15" t="n"/>
      <c r="J291" s="15" t="n"/>
      <c r="K291" s="15" t="n"/>
      <c r="L291" s="15" t="n"/>
      <c r="M291" s="15" t="n"/>
      <c r="N291" s="15" t="n"/>
      <c r="O291" s="15" t="n"/>
    </row>
    <row r="292">
      <c r="A292" s="15" t="n"/>
      <c r="B292" s="15" t="n"/>
      <c r="C292" s="15" t="n"/>
      <c r="D292" s="15" t="n"/>
      <c r="E292" s="15" t="n"/>
      <c r="F292" s="15" t="n"/>
      <c r="G292" s="15" t="n"/>
      <c r="H292" s="15" t="n"/>
      <c r="I292" s="15" t="n"/>
      <c r="J292" s="15" t="n"/>
      <c r="K292" s="15" t="n"/>
      <c r="L292" s="15" t="n"/>
      <c r="M292" s="15" t="n"/>
      <c r="N292" s="15" t="n"/>
      <c r="O292" s="15" t="n"/>
    </row>
    <row r="293">
      <c r="A293" s="15" t="n"/>
      <c r="B293" s="15" t="n"/>
      <c r="C293" s="15" t="n"/>
      <c r="D293" s="15" t="n"/>
      <c r="E293" s="15" t="n"/>
      <c r="F293" s="15" t="n"/>
      <c r="G293" s="15" t="n"/>
      <c r="H293" s="15" t="n"/>
      <c r="I293" s="15" t="n"/>
      <c r="J293" s="15" t="n"/>
      <c r="K293" s="15" t="n"/>
      <c r="L293" s="15" t="n"/>
      <c r="M293" s="15" t="n"/>
      <c r="N293" s="15" t="n"/>
      <c r="O293" s="15" t="n"/>
    </row>
    <row r="294">
      <c r="A294" s="15" t="n"/>
      <c r="B294" s="15" t="n"/>
      <c r="C294" s="15" t="n"/>
      <c r="D294" s="15" t="n"/>
      <c r="E294" s="15" t="n"/>
      <c r="F294" s="15" t="n"/>
      <c r="G294" s="15" t="n"/>
      <c r="H294" s="15" t="n"/>
      <c r="I294" s="15" t="n"/>
      <c r="J294" s="15" t="n"/>
      <c r="K294" s="15" t="n"/>
      <c r="L294" s="15" t="n"/>
      <c r="M294" s="15" t="n"/>
      <c r="N294" s="15" t="n"/>
      <c r="O294" s="15" t="n"/>
    </row>
    <row r="295">
      <c r="A295" s="15" t="n"/>
      <c r="B295" s="15" t="n"/>
      <c r="C295" s="15" t="n"/>
      <c r="D295" s="15" t="n"/>
      <c r="E295" s="15" t="n"/>
      <c r="F295" s="15" t="n"/>
      <c r="G295" s="15" t="n"/>
      <c r="H295" s="15" t="n"/>
      <c r="I295" s="15" t="n"/>
      <c r="J295" s="15" t="n"/>
      <c r="K295" s="15" t="n"/>
      <c r="L295" s="15" t="n"/>
      <c r="M295" s="15" t="n"/>
      <c r="N295" s="15" t="n"/>
      <c r="O295" s="15" t="n"/>
    </row>
    <row r="296">
      <c r="A296" s="15" t="n"/>
      <c r="B296" s="15" t="n"/>
      <c r="C296" s="15" t="n"/>
      <c r="D296" s="15" t="n"/>
      <c r="E296" s="15" t="n"/>
      <c r="F296" s="15" t="n"/>
      <c r="G296" s="15" t="n"/>
      <c r="H296" s="15" t="n"/>
      <c r="I296" s="15" t="n"/>
      <c r="J296" s="15" t="n"/>
      <c r="K296" s="15" t="n"/>
      <c r="L296" s="15" t="n"/>
      <c r="M296" s="15" t="n"/>
      <c r="N296" s="15" t="n"/>
      <c r="O296" s="15" t="n"/>
    </row>
    <row r="297">
      <c r="A297" s="15" t="n"/>
      <c r="B297" s="15" t="n"/>
      <c r="C297" s="15" t="n"/>
      <c r="D297" s="15" t="n"/>
      <c r="E297" s="15" t="n"/>
      <c r="F297" s="15" t="n"/>
      <c r="G297" s="15" t="n"/>
      <c r="H297" s="15" t="n"/>
      <c r="I297" s="15" t="n"/>
      <c r="J297" s="15" t="n"/>
      <c r="K297" s="15" t="n"/>
      <c r="L297" s="15" t="n"/>
      <c r="M297" s="15" t="n"/>
      <c r="N297" s="15" t="n"/>
      <c r="O297" s="15" t="n"/>
    </row>
    <row r="298">
      <c r="A298" s="15" t="n"/>
      <c r="B298" s="15" t="n"/>
      <c r="C298" s="15" t="n"/>
      <c r="D298" s="15" t="n"/>
      <c r="E298" s="15" t="n"/>
      <c r="F298" s="15" t="n"/>
      <c r="G298" s="15" t="n"/>
      <c r="H298" s="15" t="n"/>
      <c r="I298" s="15" t="n"/>
      <c r="J298" s="15" t="n"/>
      <c r="K298" s="15" t="n"/>
      <c r="L298" s="15" t="n"/>
      <c r="M298" s="15" t="n"/>
      <c r="N298" s="15" t="n"/>
      <c r="O298" s="15" t="n"/>
    </row>
    <row r="299">
      <c r="A299" s="15" t="n"/>
      <c r="B299" s="15" t="n"/>
      <c r="C299" s="15" t="n"/>
      <c r="D299" s="15" t="n"/>
      <c r="E299" s="15" t="n"/>
      <c r="F299" s="15" t="n"/>
      <c r="G299" s="15" t="n"/>
      <c r="H299" s="15" t="n"/>
      <c r="I299" s="15" t="n"/>
      <c r="J299" s="15" t="n"/>
      <c r="K299" s="15" t="n"/>
      <c r="L299" s="15" t="n"/>
      <c r="M299" s="15" t="n"/>
      <c r="N299" s="15" t="n"/>
      <c r="O299" s="15" t="n"/>
    </row>
    <row r="300">
      <c r="A300" s="15" t="n"/>
      <c r="B300" s="15" t="n"/>
      <c r="C300" s="15" t="n"/>
      <c r="D300" s="15" t="n"/>
      <c r="E300" s="15" t="n"/>
      <c r="F300" s="15" t="n"/>
      <c r="G300" s="15" t="n"/>
      <c r="H300" s="15" t="n"/>
      <c r="I300" s="15" t="n"/>
      <c r="J300" s="15" t="n"/>
      <c r="K300" s="15" t="n"/>
      <c r="L300" s="15" t="n"/>
      <c r="M300" s="15" t="n"/>
      <c r="N300" s="15" t="n"/>
      <c r="O300" s="15" t="n"/>
    </row>
    <row r="301">
      <c r="A301" s="15" t="n"/>
      <c r="B301" s="15" t="n"/>
      <c r="C301" s="15" t="n"/>
      <c r="D301" s="15" t="n"/>
      <c r="E301" s="15" t="n"/>
      <c r="F301" s="15" t="n"/>
      <c r="G301" s="15" t="n"/>
      <c r="H301" s="15" t="n"/>
      <c r="I301" s="15" t="n"/>
      <c r="J301" s="15" t="n"/>
      <c r="K301" s="15" t="n"/>
      <c r="L301" s="15" t="n"/>
      <c r="M301" s="15" t="n"/>
      <c r="N301" s="15" t="n"/>
      <c r="O301" s="15" t="n"/>
    </row>
    <row r="302">
      <c r="A302" s="15" t="n"/>
      <c r="B302" s="15" t="n"/>
      <c r="C302" s="15" t="n"/>
      <c r="D302" s="15" t="n"/>
      <c r="E302" s="15" t="n"/>
      <c r="F302" s="15" t="n"/>
      <c r="G302" s="15" t="n"/>
      <c r="H302" s="15" t="n"/>
      <c r="I302" s="15" t="n"/>
      <c r="J302" s="15" t="n"/>
      <c r="K302" s="15" t="n"/>
      <c r="L302" s="15" t="n"/>
      <c r="M302" s="15" t="n"/>
      <c r="N302" s="15" t="n"/>
      <c r="O302" s="15" t="n"/>
    </row>
    <row r="303">
      <c r="A303" s="15" t="n"/>
      <c r="B303" s="15" t="n"/>
      <c r="C303" s="15" t="n"/>
      <c r="D303" s="15" t="n"/>
      <c r="E303" s="15" t="n"/>
      <c r="F303" s="15" t="n"/>
      <c r="G303" s="15" t="n"/>
      <c r="H303" s="15" t="n"/>
      <c r="I303" s="15" t="n"/>
      <c r="J303" s="15" t="n"/>
      <c r="K303" s="15" t="n"/>
      <c r="L303" s="15" t="n"/>
      <c r="M303" s="15" t="n"/>
      <c r="N303" s="15" t="n"/>
      <c r="O303" s="15" t="n"/>
    </row>
    <row r="304">
      <c r="A304" s="15" t="n"/>
      <c r="B304" s="15" t="n"/>
      <c r="C304" s="15" t="n"/>
      <c r="D304" s="15" t="n"/>
      <c r="E304" s="15" t="n"/>
      <c r="F304" s="15" t="n"/>
      <c r="G304" s="15" t="n"/>
      <c r="H304" s="15" t="n"/>
      <c r="I304" s="15" t="n"/>
      <c r="J304" s="15" t="n"/>
      <c r="K304" s="15" t="n"/>
      <c r="L304" s="15" t="n"/>
      <c r="M304" s="15" t="n"/>
      <c r="N304" s="15" t="n"/>
      <c r="O304" s="15" t="n"/>
    </row>
    <row r="305">
      <c r="A305" s="15" t="n"/>
      <c r="B305" s="15" t="n"/>
      <c r="C305" s="15" t="n"/>
      <c r="D305" s="15" t="n"/>
      <c r="E305" s="15" t="n"/>
      <c r="F305" s="15" t="n"/>
      <c r="G305" s="15" t="n"/>
      <c r="H305" s="15" t="n"/>
      <c r="I305" s="15" t="n"/>
      <c r="J305" s="15" t="n"/>
      <c r="K305" s="15" t="n"/>
      <c r="L305" s="15" t="n"/>
      <c r="M305" s="15" t="n"/>
      <c r="N305" s="15" t="n"/>
      <c r="O305" s="15" t="n"/>
    </row>
    <row r="306">
      <c r="A306" s="15" t="n"/>
      <c r="B306" s="15" t="n"/>
      <c r="C306" s="15" t="n"/>
      <c r="D306" s="15" t="n"/>
      <c r="E306" s="15" t="n"/>
      <c r="F306" s="15" t="n"/>
      <c r="G306" s="15" t="n"/>
      <c r="H306" s="15" t="n"/>
      <c r="I306" s="15" t="n"/>
      <c r="J306" s="15" t="n"/>
      <c r="K306" s="15" t="n"/>
      <c r="L306" s="15" t="n"/>
      <c r="M306" s="15" t="n"/>
      <c r="N306" s="15" t="n"/>
      <c r="O306" s="15" t="n"/>
    </row>
    <row r="307">
      <c r="A307" s="15" t="n"/>
      <c r="B307" s="15" t="n"/>
      <c r="C307" s="15" t="n"/>
      <c r="D307" s="15" t="n"/>
      <c r="E307" s="15" t="n"/>
      <c r="F307" s="15" t="n"/>
      <c r="G307" s="15" t="n"/>
      <c r="H307" s="15" t="n"/>
      <c r="I307" s="15" t="n"/>
      <c r="J307" s="15" t="n"/>
      <c r="K307" s="15" t="n"/>
      <c r="L307" s="15" t="n"/>
      <c r="M307" s="15" t="n"/>
      <c r="N307" s="15" t="n"/>
      <c r="O307" s="15" t="n"/>
    </row>
    <row r="308">
      <c r="A308" s="15" t="n"/>
      <c r="B308" s="15" t="n"/>
      <c r="C308" s="15" t="n"/>
      <c r="D308" s="15" t="n"/>
      <c r="E308" s="15" t="n"/>
      <c r="F308" s="15" t="n"/>
      <c r="G308" s="15" t="n"/>
      <c r="H308" s="15" t="n"/>
      <c r="I308" s="15" t="n"/>
      <c r="J308" s="15" t="n"/>
      <c r="K308" s="15" t="n"/>
      <c r="L308" s="15" t="n"/>
      <c r="M308" s="15" t="n"/>
      <c r="N308" s="15" t="n"/>
      <c r="O308" s="15" t="n"/>
    </row>
    <row r="309">
      <c r="A309" s="15" t="n"/>
      <c r="B309" s="15" t="n"/>
      <c r="C309" s="15" t="n"/>
      <c r="D309" s="15" t="n"/>
      <c r="E309" s="15" t="n"/>
      <c r="F309" s="15" t="n"/>
      <c r="G309" s="15" t="n"/>
      <c r="H309" s="15" t="n"/>
      <c r="I309" s="15" t="n"/>
      <c r="J309" s="15" t="n"/>
      <c r="K309" s="15" t="n"/>
      <c r="L309" s="15" t="n"/>
      <c r="M309" s="15" t="n"/>
      <c r="N309" s="15" t="n"/>
      <c r="O309" s="15" t="n"/>
    </row>
    <row r="310">
      <c r="A310" s="15" t="n"/>
      <c r="B310" s="15" t="n"/>
      <c r="C310" s="15" t="n"/>
      <c r="D310" s="15" t="n"/>
      <c r="E310" s="15" t="n"/>
      <c r="F310" s="15" t="n"/>
      <c r="G310" s="15" t="n"/>
      <c r="H310" s="15" t="n"/>
      <c r="I310" s="15" t="n"/>
      <c r="J310" s="15" t="n"/>
      <c r="K310" s="15" t="n"/>
      <c r="L310" s="15" t="n"/>
      <c r="M310" s="15" t="n"/>
      <c r="N310" s="15" t="n"/>
      <c r="O310" s="15" t="n"/>
    </row>
    <row r="311">
      <c r="A311" s="15" t="n"/>
      <c r="B311" s="15" t="n"/>
      <c r="C311" s="15" t="n"/>
      <c r="D311" s="15" t="n"/>
      <c r="E311" s="15" t="n"/>
      <c r="F311" s="15" t="n"/>
      <c r="G311" s="15" t="n"/>
      <c r="H311" s="15" t="n"/>
      <c r="I311" s="15" t="n"/>
      <c r="J311" s="15" t="n"/>
      <c r="K311" s="15" t="n"/>
      <c r="L311" s="15" t="n"/>
      <c r="M311" s="15" t="n"/>
      <c r="N311" s="15" t="n"/>
      <c r="O311" s="15" t="n"/>
    </row>
    <row r="312">
      <c r="A312" s="15" t="n"/>
      <c r="B312" s="15" t="n"/>
      <c r="C312" s="15" t="n"/>
      <c r="D312" s="15" t="n"/>
      <c r="E312" s="15" t="n"/>
      <c r="F312" s="15" t="n"/>
      <c r="G312" s="15" t="n"/>
      <c r="H312" s="15" t="n"/>
      <c r="I312" s="15" t="n"/>
      <c r="J312" s="15" t="n"/>
      <c r="K312" s="15" t="n"/>
      <c r="L312" s="15" t="n"/>
      <c r="M312" s="15" t="n"/>
      <c r="N312" s="15" t="n"/>
      <c r="O312" s="15" t="n"/>
    </row>
    <row r="313">
      <c r="A313" s="15" t="n"/>
      <c r="B313" s="15" t="n"/>
      <c r="C313" s="15" t="n"/>
      <c r="D313" s="15" t="n"/>
      <c r="E313" s="15" t="n"/>
      <c r="F313" s="15" t="n"/>
      <c r="G313" s="15" t="n"/>
      <c r="H313" s="15" t="n"/>
      <c r="I313" s="15" t="n"/>
      <c r="J313" s="15" t="n"/>
      <c r="K313" s="15" t="n"/>
      <c r="L313" s="15" t="n"/>
      <c r="M313" s="15" t="n"/>
      <c r="N313" s="15" t="n"/>
      <c r="O313" s="15" t="n"/>
    </row>
    <row r="314">
      <c r="A314" s="15" t="n"/>
      <c r="B314" s="15" t="n"/>
      <c r="C314" s="15" t="n"/>
      <c r="D314" s="15" t="n"/>
      <c r="E314" s="15" t="n"/>
      <c r="F314" s="15" t="n"/>
      <c r="G314" s="15" t="n"/>
      <c r="H314" s="15" t="n"/>
      <c r="I314" s="15" t="n"/>
      <c r="J314" s="15" t="n"/>
      <c r="K314" s="15" t="n"/>
      <c r="L314" s="15" t="n"/>
      <c r="M314" s="15" t="n"/>
      <c r="N314" s="15" t="n"/>
      <c r="O314" s="15" t="n"/>
    </row>
    <row r="315">
      <c r="A315" s="15" t="n"/>
      <c r="B315" s="15" t="n"/>
      <c r="C315" s="15" t="n"/>
      <c r="D315" s="15" t="n"/>
      <c r="E315" s="15" t="n"/>
      <c r="F315" s="15" t="n"/>
      <c r="G315" s="15" t="n"/>
      <c r="H315" s="15" t="n"/>
      <c r="I315" s="15" t="n"/>
      <c r="J315" s="15" t="n"/>
      <c r="K315" s="15" t="n"/>
      <c r="L315" s="15" t="n"/>
      <c r="M315" s="15" t="n"/>
      <c r="N315" s="15" t="n"/>
      <c r="O315" s="15" t="n"/>
    </row>
    <row r="316">
      <c r="A316" s="15" t="n"/>
      <c r="B316" s="15" t="n"/>
      <c r="C316" s="15" t="n"/>
      <c r="D316" s="15" t="n"/>
      <c r="E316" s="15" t="n"/>
      <c r="F316" s="15" t="n"/>
      <c r="G316" s="15" t="n"/>
      <c r="H316" s="15" t="n"/>
      <c r="I316" s="15" t="n"/>
      <c r="J316" s="15" t="n"/>
      <c r="K316" s="15" t="n"/>
      <c r="L316" s="15" t="n"/>
      <c r="M316" s="15" t="n"/>
      <c r="N316" s="15" t="n"/>
      <c r="O316" s="15" t="n"/>
    </row>
    <row r="317">
      <c r="A317" s="15" t="n"/>
      <c r="B317" s="15" t="n"/>
      <c r="C317" s="15" t="n"/>
      <c r="D317" s="15" t="n"/>
      <c r="E317" s="15" t="n"/>
      <c r="F317" s="15" t="n"/>
      <c r="G317" s="15" t="n"/>
      <c r="H317" s="15" t="n"/>
      <c r="I317" s="15" t="n"/>
      <c r="J317" s="15" t="n"/>
      <c r="K317" s="15" t="n"/>
      <c r="L317" s="15" t="n"/>
      <c r="M317" s="15" t="n"/>
      <c r="N317" s="15" t="n"/>
      <c r="O317" s="15" t="n"/>
    </row>
    <row r="318">
      <c r="A318" s="15" t="n"/>
      <c r="B318" s="15" t="n"/>
      <c r="C318" s="15" t="n"/>
      <c r="D318" s="15" t="n"/>
      <c r="E318" s="15" t="n"/>
      <c r="F318" s="15" t="n"/>
      <c r="G318" s="15" t="n"/>
      <c r="H318" s="15" t="n"/>
      <c r="I318" s="15" t="n"/>
      <c r="J318" s="15" t="n"/>
      <c r="K318" s="15" t="n"/>
      <c r="L318" s="15" t="n"/>
      <c r="M318" s="15" t="n"/>
      <c r="N318" s="15" t="n"/>
      <c r="O318" s="15" t="n"/>
    </row>
    <row r="319">
      <c r="A319" s="15" t="n"/>
      <c r="B319" s="15" t="n"/>
      <c r="C319" s="15" t="n"/>
      <c r="D319" s="15" t="n"/>
      <c r="E319" s="15" t="n"/>
      <c r="F319" s="15" t="n"/>
      <c r="G319" s="15" t="n"/>
      <c r="H319" s="15" t="n"/>
      <c r="I319" s="15" t="n"/>
      <c r="J319" s="15" t="n"/>
      <c r="K319" s="15" t="n"/>
      <c r="L319" s="15" t="n"/>
      <c r="M319" s="15" t="n"/>
      <c r="N319" s="15" t="n"/>
      <c r="O319" s="15" t="n"/>
    </row>
    <row r="320">
      <c r="A320" s="15" t="n"/>
      <c r="B320" s="15" t="n"/>
      <c r="C320" s="15" t="n"/>
      <c r="D320" s="15" t="n"/>
      <c r="E320" s="15" t="n"/>
      <c r="F320" s="15" t="n"/>
      <c r="G320" s="15" t="n"/>
      <c r="H320" s="15" t="n"/>
      <c r="I320" s="15" t="n"/>
      <c r="J320" s="15" t="n"/>
      <c r="K320" s="15" t="n"/>
      <c r="L320" s="15" t="n"/>
      <c r="M320" s="15" t="n"/>
      <c r="N320" s="15" t="n"/>
      <c r="O320" s="15" t="n"/>
    </row>
    <row r="321">
      <c r="A321" s="15" t="n"/>
      <c r="B321" s="15" t="n"/>
      <c r="C321" s="15" t="n"/>
      <c r="D321" s="15" t="n"/>
      <c r="E321" s="15" t="n"/>
      <c r="F321" s="15" t="n"/>
      <c r="G321" s="15" t="n"/>
      <c r="H321" s="15" t="n"/>
      <c r="I321" s="15" t="n"/>
      <c r="J321" s="15" t="n"/>
      <c r="K321" s="15" t="n"/>
      <c r="L321" s="15" t="n"/>
      <c r="M321" s="15" t="n"/>
      <c r="N321" s="15" t="n"/>
      <c r="O321" s="15" t="n"/>
    </row>
    <row r="322">
      <c r="A322" s="15" t="n"/>
      <c r="B322" s="15" t="n"/>
      <c r="C322" s="15" t="n"/>
      <c r="D322" s="15" t="n"/>
      <c r="E322" s="15" t="n"/>
      <c r="F322" s="15" t="n"/>
      <c r="G322" s="15" t="n"/>
      <c r="H322" s="15" t="n"/>
      <c r="I322" s="15" t="n"/>
      <c r="J322" s="15" t="n"/>
      <c r="K322" s="15" t="n"/>
      <c r="L322" s="15" t="n"/>
      <c r="M322" s="15" t="n"/>
      <c r="N322" s="15" t="n"/>
      <c r="O322" s="15" t="n"/>
    </row>
    <row r="323">
      <c r="A323" s="15" t="n"/>
      <c r="B323" s="15" t="n"/>
      <c r="C323" s="15" t="n"/>
      <c r="D323" s="15" t="n"/>
      <c r="E323" s="15" t="n"/>
      <c r="F323" s="15" t="n"/>
      <c r="G323" s="15" t="n"/>
      <c r="H323" s="15" t="n"/>
      <c r="I323" s="15" t="n"/>
      <c r="J323" s="15" t="n"/>
      <c r="K323" s="15" t="n"/>
      <c r="L323" s="15" t="n"/>
      <c r="M323" s="15" t="n"/>
      <c r="N323" s="15" t="n"/>
      <c r="O323" s="15" t="n"/>
    </row>
    <row r="324">
      <c r="A324" s="15" t="n"/>
      <c r="B324" s="15" t="n"/>
      <c r="C324" s="15" t="n"/>
      <c r="D324" s="15" t="n"/>
      <c r="E324" s="15" t="n"/>
      <c r="F324" s="15" t="n"/>
      <c r="G324" s="15" t="n"/>
      <c r="H324" s="15" t="n"/>
      <c r="I324" s="15" t="n"/>
      <c r="J324" s="15" t="n"/>
      <c r="K324" s="15" t="n"/>
      <c r="L324" s="15" t="n"/>
      <c r="M324" s="15" t="n"/>
      <c r="N324" s="15" t="n"/>
      <c r="O324" s="15" t="n"/>
    </row>
    <row r="325">
      <c r="A325" s="15" t="n"/>
      <c r="B325" s="15" t="n"/>
      <c r="C325" s="15" t="n"/>
      <c r="D325" s="15" t="n"/>
      <c r="E325" s="15" t="n"/>
      <c r="F325" s="15" t="n"/>
      <c r="G325" s="15" t="n"/>
      <c r="H325" s="15" t="n"/>
      <c r="I325" s="15" t="n"/>
      <c r="J325" s="15" t="n"/>
      <c r="K325" s="15" t="n"/>
      <c r="L325" s="15" t="n"/>
      <c r="M325" s="15" t="n"/>
      <c r="N325" s="15" t="n"/>
      <c r="O325" s="15" t="n"/>
    </row>
    <row r="326">
      <c r="A326" s="15" t="n"/>
      <c r="B326" s="15" t="n"/>
      <c r="C326" s="15" t="n"/>
      <c r="D326" s="15" t="n"/>
      <c r="E326" s="15" t="n"/>
      <c r="F326" s="15" t="n"/>
      <c r="G326" s="15" t="n"/>
      <c r="H326" s="15" t="n"/>
      <c r="I326" s="15" t="n"/>
      <c r="J326" s="15" t="n"/>
      <c r="K326" s="15" t="n"/>
      <c r="L326" s="15" t="n"/>
      <c r="M326" s="15" t="n"/>
      <c r="N326" s="15" t="n"/>
      <c r="O326" s="15" t="n"/>
    </row>
    <row r="327">
      <c r="A327" s="15" t="n"/>
      <c r="B327" s="15" t="n"/>
      <c r="C327" s="15" t="n"/>
      <c r="D327" s="15" t="n"/>
      <c r="E327" s="15" t="n"/>
      <c r="F327" s="15" t="n"/>
      <c r="G327" s="15" t="n"/>
      <c r="H327" s="15" t="n"/>
      <c r="I327" s="15" t="n"/>
      <c r="J327" s="15" t="n"/>
      <c r="K327" s="15" t="n"/>
      <c r="L327" s="15" t="n"/>
      <c r="M327" s="15" t="n"/>
      <c r="N327" s="15" t="n"/>
      <c r="O327" s="15" t="n"/>
    </row>
    <row r="328">
      <c r="A328" s="15" t="n"/>
      <c r="B328" s="15" t="n"/>
      <c r="C328" s="15" t="n"/>
      <c r="D328" s="15" t="n"/>
      <c r="E328" s="15" t="n"/>
      <c r="F328" s="15" t="n"/>
      <c r="G328" s="15" t="n"/>
      <c r="H328" s="15" t="n"/>
      <c r="I328" s="15" t="n"/>
      <c r="J328" s="15" t="n"/>
      <c r="K328" s="15" t="n"/>
      <c r="L328" s="15" t="n"/>
      <c r="M328" s="15" t="n"/>
      <c r="N328" s="15" t="n"/>
      <c r="O328" s="15" t="n"/>
    </row>
    <row r="329">
      <c r="A329" s="15" t="n"/>
      <c r="B329" s="15" t="n"/>
      <c r="C329" s="15" t="n"/>
      <c r="D329" s="15" t="n"/>
      <c r="E329" s="15" t="n"/>
      <c r="F329" s="15" t="n"/>
      <c r="G329" s="15" t="n"/>
      <c r="H329" s="15" t="n"/>
      <c r="I329" s="15" t="n"/>
      <c r="J329" s="15" t="n"/>
      <c r="K329" s="15" t="n"/>
      <c r="L329" s="15" t="n"/>
      <c r="M329" s="15" t="n"/>
      <c r="N329" s="15" t="n"/>
      <c r="O329" s="15" t="n"/>
    </row>
    <row r="330">
      <c r="A330" s="15" t="n"/>
      <c r="B330" s="15" t="n"/>
      <c r="C330" s="15" t="n"/>
      <c r="D330" s="15" t="n"/>
      <c r="E330" s="15" t="n"/>
      <c r="F330" s="15" t="n"/>
      <c r="G330" s="15" t="n"/>
      <c r="H330" s="15" t="n"/>
      <c r="I330" s="15" t="n"/>
      <c r="J330" s="15" t="n"/>
      <c r="K330" s="15" t="n"/>
      <c r="L330" s="15" t="n"/>
      <c r="M330" s="15" t="n"/>
      <c r="N330" s="15" t="n"/>
      <c r="O330" s="15" t="n"/>
    </row>
    <row r="331">
      <c r="A331" s="15" t="n"/>
      <c r="B331" s="15" t="n"/>
      <c r="C331" s="15" t="n"/>
      <c r="D331" s="15" t="n"/>
      <c r="E331" s="15" t="n"/>
      <c r="F331" s="15" t="n"/>
      <c r="G331" s="15" t="n"/>
      <c r="H331" s="15" t="n"/>
      <c r="I331" s="15" t="n"/>
      <c r="J331" s="15" t="n"/>
      <c r="K331" s="15" t="n"/>
      <c r="L331" s="15" t="n"/>
      <c r="M331" s="15" t="n"/>
      <c r="N331" s="15" t="n"/>
      <c r="O331" s="15" t="n"/>
    </row>
    <row r="332">
      <c r="A332" s="15" t="n"/>
      <c r="B332" s="15" t="n"/>
      <c r="C332" s="15" t="n"/>
      <c r="D332" s="15" t="n"/>
      <c r="E332" s="15" t="n"/>
      <c r="F332" s="15" t="n"/>
      <c r="G332" s="15" t="n"/>
      <c r="H332" s="15" t="n"/>
      <c r="I332" s="15" t="n"/>
      <c r="J332" s="15" t="n"/>
      <c r="K332" s="15" t="n"/>
      <c r="L332" s="15" t="n"/>
      <c r="M332" s="15" t="n"/>
      <c r="N332" s="15" t="n"/>
      <c r="O332" s="15" t="n"/>
    </row>
    <row r="333">
      <c r="A333" s="15" t="n"/>
      <c r="B333" s="15" t="n"/>
      <c r="C333" s="15" t="n"/>
      <c r="D333" s="15" t="n"/>
      <c r="E333" s="15" t="n"/>
      <c r="F333" s="15" t="n"/>
      <c r="G333" s="15" t="n"/>
      <c r="H333" s="15" t="n"/>
      <c r="I333" s="15" t="n"/>
      <c r="J333" s="15" t="n"/>
      <c r="K333" s="15" t="n"/>
      <c r="L333" s="15" t="n"/>
      <c r="M333" s="15" t="n"/>
      <c r="N333" s="15" t="n"/>
      <c r="O333" s="15" t="n"/>
    </row>
    <row r="334">
      <c r="A334" s="15" t="n"/>
      <c r="B334" s="15" t="n"/>
      <c r="C334" s="15" t="n"/>
      <c r="D334" s="15" t="n"/>
      <c r="E334" s="15" t="n"/>
      <c r="F334" s="15" t="n"/>
      <c r="G334" s="15" t="n"/>
      <c r="H334" s="15" t="n"/>
      <c r="I334" s="15" t="n"/>
      <c r="J334" s="15" t="n"/>
      <c r="K334" s="15" t="n"/>
      <c r="L334" s="15" t="n"/>
      <c r="M334" s="15" t="n"/>
      <c r="N334" s="15" t="n"/>
      <c r="O334" s="15" t="n"/>
    </row>
    <row r="335">
      <c r="A335" s="15" t="n"/>
      <c r="B335" s="15" t="n"/>
      <c r="C335" s="15" t="n"/>
      <c r="D335" s="15" t="n"/>
      <c r="E335" s="15" t="n"/>
      <c r="F335" s="15" t="n"/>
      <c r="G335" s="15" t="n"/>
      <c r="H335" s="15" t="n"/>
      <c r="I335" s="15" t="n"/>
      <c r="J335" s="15" t="n"/>
      <c r="K335" s="15" t="n"/>
      <c r="L335" s="15" t="n"/>
      <c r="M335" s="15" t="n"/>
      <c r="N335" s="15" t="n"/>
      <c r="O335" s="15" t="n"/>
    </row>
    <row r="336">
      <c r="A336" s="15" t="n"/>
      <c r="B336" s="15" t="n"/>
      <c r="C336" s="15" t="n"/>
      <c r="D336" s="15" t="n"/>
      <c r="E336" s="15" t="n"/>
      <c r="F336" s="15" t="n"/>
      <c r="G336" s="15" t="n"/>
      <c r="H336" s="15" t="n"/>
      <c r="I336" s="15" t="n"/>
      <c r="J336" s="15" t="n"/>
      <c r="K336" s="15" t="n"/>
      <c r="L336" s="15" t="n"/>
      <c r="M336" s="15" t="n"/>
      <c r="N336" s="15" t="n"/>
      <c r="O336" s="15" t="n"/>
    </row>
    <row r="337">
      <c r="A337" s="15" t="n"/>
      <c r="B337" s="15" t="n"/>
      <c r="C337" s="15" t="n"/>
      <c r="D337" s="15" t="n"/>
      <c r="E337" s="15" t="n"/>
      <c r="F337" s="15" t="n"/>
      <c r="G337" s="15" t="n"/>
      <c r="H337" s="15" t="n"/>
      <c r="I337" s="15" t="n"/>
      <c r="J337" s="15" t="n"/>
      <c r="K337" s="15" t="n"/>
      <c r="L337" s="15" t="n"/>
      <c r="M337" s="15" t="n"/>
      <c r="N337" s="15" t="n"/>
      <c r="O337" s="15" t="n"/>
    </row>
    <row r="338">
      <c r="A338" s="15" t="n"/>
      <c r="B338" s="15" t="n"/>
      <c r="C338" s="15" t="n"/>
      <c r="D338" s="15" t="n"/>
      <c r="E338" s="15" t="n"/>
      <c r="F338" s="15" t="n"/>
      <c r="G338" s="15" t="n"/>
      <c r="H338" s="15" t="n"/>
      <c r="I338" s="15" t="n"/>
      <c r="J338" s="15" t="n"/>
      <c r="K338" s="15" t="n"/>
      <c r="L338" s="15" t="n"/>
      <c r="M338" s="15" t="n"/>
      <c r="N338" s="15" t="n"/>
      <c r="O338" s="15" t="n"/>
    </row>
    <row r="339">
      <c r="A339" s="15" t="n"/>
      <c r="B339" s="15" t="n"/>
      <c r="C339" s="15" t="n"/>
      <c r="D339" s="15" t="n"/>
      <c r="E339" s="15" t="n"/>
      <c r="F339" s="15" t="n"/>
      <c r="G339" s="15" t="n"/>
      <c r="H339" s="15" t="n"/>
      <c r="I339" s="15" t="n"/>
      <c r="J339" s="15" t="n"/>
      <c r="K339" s="15" t="n"/>
      <c r="L339" s="15" t="n"/>
      <c r="M339" s="15" t="n"/>
      <c r="N339" s="15" t="n"/>
      <c r="O339" s="15" t="n"/>
    </row>
    <row r="340">
      <c r="A340" s="15" t="n"/>
      <c r="B340" s="15" t="n"/>
      <c r="C340" s="15" t="n"/>
      <c r="D340" s="15" t="n"/>
      <c r="E340" s="15" t="n"/>
      <c r="F340" s="15" t="n"/>
      <c r="G340" s="15" t="n"/>
      <c r="H340" s="15" t="n"/>
      <c r="I340" s="15" t="n"/>
      <c r="J340" s="15" t="n"/>
      <c r="K340" s="15" t="n"/>
      <c r="L340" s="15" t="n"/>
      <c r="M340" s="15" t="n"/>
      <c r="N340" s="15" t="n"/>
      <c r="O340" s="15" t="n"/>
    </row>
    <row r="341">
      <c r="A341" s="15" t="n"/>
      <c r="B341" s="15" t="n"/>
      <c r="C341" s="15" t="n"/>
      <c r="D341" s="15" t="n"/>
      <c r="E341" s="15" t="n"/>
      <c r="F341" s="15" t="n"/>
      <c r="G341" s="15" t="n"/>
      <c r="H341" s="15" t="n"/>
      <c r="I341" s="15" t="n"/>
      <c r="J341" s="15" t="n"/>
      <c r="K341" s="15" t="n"/>
      <c r="L341" s="15" t="n"/>
      <c r="M341" s="15" t="n"/>
      <c r="N341" s="15" t="n"/>
      <c r="O341" s="15" t="n"/>
    </row>
    <row r="342">
      <c r="A342" s="15" t="n"/>
      <c r="B342" s="15" t="n"/>
      <c r="C342" s="15" t="n"/>
      <c r="D342" s="15" t="n"/>
      <c r="E342" s="15" t="n"/>
      <c r="F342" s="15" t="n"/>
      <c r="G342" s="15" t="n"/>
      <c r="H342" s="15" t="n"/>
      <c r="I342" s="15" t="n"/>
      <c r="J342" s="15" t="n"/>
      <c r="K342" s="15" t="n"/>
      <c r="L342" s="15" t="n"/>
      <c r="M342" s="15" t="n"/>
      <c r="N342" s="15" t="n"/>
      <c r="O342" s="15" t="n"/>
    </row>
    <row r="343">
      <c r="A343" s="15" t="n"/>
      <c r="B343" s="15" t="n"/>
      <c r="C343" s="15" t="n"/>
      <c r="D343" s="15" t="n"/>
      <c r="E343" s="15" t="n"/>
      <c r="F343" s="15" t="n"/>
      <c r="G343" s="15" t="n"/>
      <c r="H343" s="15" t="n"/>
      <c r="I343" s="15" t="n"/>
      <c r="J343" s="15" t="n"/>
      <c r="K343" s="15" t="n"/>
      <c r="L343" s="15" t="n"/>
      <c r="M343" s="15" t="n"/>
      <c r="N343" s="15" t="n"/>
      <c r="O343" s="15" t="n"/>
    </row>
    <row r="344">
      <c r="A344" s="15" t="n"/>
      <c r="B344" s="15" t="n"/>
      <c r="C344" s="15" t="n"/>
      <c r="D344" s="15" t="n"/>
      <c r="E344" s="15" t="n"/>
      <c r="F344" s="15" t="n"/>
      <c r="G344" s="15" t="n"/>
      <c r="H344" s="15" t="n"/>
      <c r="I344" s="15" t="n"/>
      <c r="J344" s="15" t="n"/>
      <c r="K344" s="15" t="n"/>
      <c r="L344" s="15" t="n"/>
      <c r="M344" s="15" t="n"/>
      <c r="N344" s="15" t="n"/>
      <c r="O344" s="15" t="n"/>
    </row>
    <row r="345">
      <c r="A345" s="15" t="n"/>
      <c r="B345" s="15" t="n"/>
      <c r="C345" s="15" t="n"/>
      <c r="D345" s="15" t="n"/>
      <c r="E345" s="15" t="n"/>
      <c r="F345" s="15" t="n"/>
      <c r="G345" s="15" t="n"/>
      <c r="H345" s="15" t="n"/>
      <c r="I345" s="15" t="n"/>
      <c r="J345" s="15" t="n"/>
      <c r="K345" s="15" t="n"/>
      <c r="L345" s="15" t="n"/>
      <c r="M345" s="15" t="n"/>
      <c r="N345" s="15" t="n"/>
      <c r="O345" s="15" t="n"/>
    </row>
    <row r="346">
      <c r="A346" s="15" t="n"/>
      <c r="B346" s="15" t="n"/>
      <c r="C346" s="15" t="n"/>
      <c r="D346" s="15" t="n"/>
      <c r="E346" s="15" t="n"/>
      <c r="F346" s="15" t="n"/>
      <c r="G346" s="15" t="n"/>
      <c r="H346" s="15" t="n"/>
      <c r="I346" s="15" t="n"/>
      <c r="J346" s="15" t="n"/>
      <c r="K346" s="15" t="n"/>
      <c r="L346" s="15" t="n"/>
      <c r="M346" s="15" t="n"/>
      <c r="N346" s="15" t="n"/>
      <c r="O346" s="15" t="n"/>
    </row>
    <row r="347">
      <c r="A347" s="15" t="n"/>
      <c r="B347" s="15" t="n"/>
      <c r="C347" s="15" t="n"/>
      <c r="D347" s="15" t="n"/>
      <c r="E347" s="15" t="n"/>
      <c r="F347" s="15" t="n"/>
      <c r="G347" s="15" t="n"/>
      <c r="H347" s="15" t="n"/>
      <c r="I347" s="15" t="n"/>
      <c r="J347" s="15" t="n"/>
      <c r="K347" s="15" t="n"/>
      <c r="L347" s="15" t="n"/>
      <c r="M347" s="15" t="n"/>
      <c r="N347" s="15" t="n"/>
      <c r="O347" s="15" t="n"/>
    </row>
    <row r="348">
      <c r="A348" s="15" t="n"/>
      <c r="B348" s="15" t="n"/>
      <c r="C348" s="15" t="n"/>
      <c r="D348" s="15" t="n"/>
      <c r="E348" s="15" t="n"/>
      <c r="F348" s="15" t="n"/>
      <c r="G348" s="15" t="n"/>
      <c r="H348" s="15" t="n"/>
      <c r="I348" s="15" t="n"/>
      <c r="J348" s="15" t="n"/>
      <c r="K348" s="15" t="n"/>
      <c r="L348" s="15" t="n"/>
      <c r="M348" s="15" t="n"/>
      <c r="N348" s="15" t="n"/>
      <c r="O348" s="15" t="n"/>
    </row>
    <row r="349">
      <c r="A349" s="15" t="n"/>
      <c r="B349" s="15" t="n"/>
      <c r="C349" s="15" t="n"/>
      <c r="D349" s="15" t="n"/>
      <c r="E349" s="15" t="n"/>
      <c r="F349" s="15" t="n"/>
      <c r="G349" s="15" t="n"/>
      <c r="H349" s="15" t="n"/>
      <c r="I349" s="15" t="n"/>
      <c r="J349" s="15" t="n"/>
      <c r="K349" s="15" t="n"/>
      <c r="L349" s="15" t="n"/>
      <c r="M349" s="15" t="n"/>
      <c r="N349" s="15" t="n"/>
      <c r="O349" s="15" t="n"/>
    </row>
    <row r="350">
      <c r="A350" s="15" t="n"/>
      <c r="B350" s="15" t="n"/>
      <c r="C350" s="15" t="n"/>
      <c r="D350" s="15" t="n"/>
      <c r="E350" s="15" t="n"/>
      <c r="F350" s="15" t="n"/>
      <c r="G350" s="15" t="n"/>
      <c r="H350" s="15" t="n"/>
      <c r="I350" s="15" t="n"/>
      <c r="J350" s="15" t="n"/>
      <c r="K350" s="15" t="n"/>
      <c r="L350" s="15" t="n"/>
      <c r="M350" s="15" t="n"/>
      <c r="N350" s="15" t="n"/>
      <c r="O350" s="15" t="n"/>
    </row>
    <row r="351">
      <c r="A351" s="15" t="n"/>
      <c r="B351" s="15" t="n"/>
      <c r="C351" s="15" t="n"/>
      <c r="D351" s="15" t="n"/>
      <c r="E351" s="15" t="n"/>
      <c r="F351" s="15" t="n"/>
      <c r="G351" s="15" t="n"/>
      <c r="H351" s="15" t="n"/>
      <c r="I351" s="15" t="n"/>
      <c r="J351" s="15" t="n"/>
      <c r="K351" s="15" t="n"/>
      <c r="L351" s="15" t="n"/>
      <c r="M351" s="15" t="n"/>
      <c r="N351" s="15" t="n"/>
      <c r="O351" s="15" t="n"/>
    </row>
    <row r="352">
      <c r="A352" s="15" t="n"/>
      <c r="B352" s="15" t="n"/>
      <c r="C352" s="15" t="n"/>
      <c r="D352" s="15" t="n"/>
      <c r="E352" s="15" t="n"/>
      <c r="F352" s="15" t="n"/>
      <c r="G352" s="15" t="n"/>
      <c r="H352" s="15" t="n"/>
      <c r="I352" s="15" t="n"/>
      <c r="J352" s="15" t="n"/>
      <c r="K352" s="15" t="n"/>
      <c r="L352" s="15" t="n"/>
      <c r="M352" s="15" t="n"/>
      <c r="N352" s="15" t="n"/>
      <c r="O352" s="15" t="n"/>
    </row>
    <row r="353">
      <c r="A353" s="15" t="n"/>
      <c r="B353" s="15" t="n"/>
      <c r="C353" s="15" t="n"/>
      <c r="D353" s="15" t="n"/>
      <c r="E353" s="15" t="n"/>
      <c r="F353" s="15" t="n"/>
      <c r="G353" s="15" t="n"/>
      <c r="H353" s="15" t="n"/>
      <c r="I353" s="15" t="n"/>
      <c r="J353" s="15" t="n"/>
      <c r="K353" s="15" t="n"/>
      <c r="L353" s="15" t="n"/>
      <c r="M353" s="15" t="n"/>
      <c r="N353" s="15" t="n"/>
      <c r="O353" s="15" t="n"/>
    </row>
    <row r="354">
      <c r="A354" s="15" t="n"/>
      <c r="B354" s="15" t="n"/>
      <c r="C354" s="15" t="n"/>
      <c r="D354" s="15" t="n"/>
      <c r="E354" s="15" t="n"/>
      <c r="F354" s="15" t="n"/>
      <c r="G354" s="15" t="n"/>
      <c r="H354" s="15" t="n"/>
      <c r="I354" s="15" t="n"/>
      <c r="J354" s="15" t="n"/>
      <c r="K354" s="15" t="n"/>
      <c r="L354" s="15" t="n"/>
      <c r="M354" s="15" t="n"/>
      <c r="N354" s="15" t="n"/>
      <c r="O354" s="15" t="n"/>
    </row>
    <row r="355">
      <c r="A355" s="15" t="n"/>
      <c r="B355" s="15" t="n"/>
      <c r="C355" s="15" t="n"/>
      <c r="D355" s="15" t="n"/>
      <c r="E355" s="15" t="n"/>
      <c r="F355" s="15" t="n"/>
      <c r="G355" s="15" t="n"/>
      <c r="H355" s="15" t="n"/>
      <c r="I355" s="15" t="n"/>
      <c r="J355" s="15" t="n"/>
      <c r="K355" s="15" t="n"/>
      <c r="L355" s="15" t="n"/>
      <c r="M355" s="15" t="n"/>
      <c r="N355" s="15" t="n"/>
      <c r="O355" s="15" t="n"/>
    </row>
    <row r="356">
      <c r="A356" s="15" t="n"/>
      <c r="B356" s="15" t="n"/>
      <c r="C356" s="15" t="n"/>
      <c r="D356" s="15" t="n"/>
      <c r="E356" s="15" t="n"/>
      <c r="F356" s="15" t="n"/>
      <c r="G356" s="15" t="n"/>
      <c r="H356" s="15" t="n"/>
      <c r="I356" s="15" t="n"/>
      <c r="J356" s="15" t="n"/>
      <c r="K356" s="15" t="n"/>
      <c r="L356" s="15" t="n"/>
      <c r="M356" s="15" t="n"/>
      <c r="N356" s="15" t="n"/>
      <c r="O356" s="15" t="n"/>
    </row>
    <row r="357">
      <c r="A357" s="15" t="n"/>
      <c r="B357" s="15" t="n"/>
      <c r="C357" s="15" t="n"/>
      <c r="D357" s="15" t="n"/>
      <c r="E357" s="15" t="n"/>
      <c r="F357" s="15" t="n"/>
      <c r="G357" s="15" t="n"/>
      <c r="H357" s="15" t="n"/>
      <c r="I357" s="15" t="n"/>
      <c r="J357" s="15" t="n"/>
      <c r="K357" s="15" t="n"/>
      <c r="L357" s="15" t="n"/>
      <c r="M357" s="15" t="n"/>
      <c r="N357" s="15" t="n"/>
      <c r="O357" s="15" t="n"/>
    </row>
    <row r="358">
      <c r="A358" s="15" t="n"/>
      <c r="B358" s="15" t="n"/>
      <c r="C358" s="15" t="n"/>
      <c r="D358" s="15" t="n"/>
      <c r="E358" s="15" t="n"/>
      <c r="F358" s="15" t="n"/>
      <c r="G358" s="15" t="n"/>
      <c r="H358" s="15" t="n"/>
      <c r="I358" s="15" t="n"/>
      <c r="J358" s="15" t="n"/>
      <c r="K358" s="15" t="n"/>
      <c r="L358" s="15" t="n"/>
      <c r="M358" s="15" t="n"/>
      <c r="N358" s="15" t="n"/>
      <c r="O358" s="15" t="n"/>
    </row>
    <row r="359">
      <c r="A359" s="15" t="n"/>
      <c r="B359" s="15" t="n"/>
      <c r="C359" s="15" t="n"/>
      <c r="D359" s="15" t="n"/>
      <c r="E359" s="15" t="n"/>
      <c r="F359" s="15" t="n"/>
      <c r="G359" s="15" t="n"/>
      <c r="H359" s="15" t="n"/>
      <c r="I359" s="15" t="n"/>
      <c r="J359" s="15" t="n"/>
      <c r="K359" s="15" t="n"/>
      <c r="L359" s="15" t="n"/>
      <c r="M359" s="15" t="n"/>
      <c r="N359" s="15" t="n"/>
      <c r="O359" s="15" t="n"/>
    </row>
    <row r="360">
      <c r="A360" s="15" t="n"/>
      <c r="B360" s="15" t="n"/>
      <c r="C360" s="15" t="n"/>
      <c r="D360" s="15" t="n"/>
      <c r="E360" s="15" t="n"/>
      <c r="F360" s="15" t="n"/>
      <c r="G360" s="15" t="n"/>
      <c r="H360" s="15" t="n"/>
      <c r="I360" s="15" t="n"/>
      <c r="J360" s="15" t="n"/>
      <c r="K360" s="15" t="n"/>
      <c r="L360" s="15" t="n"/>
      <c r="M360" s="15" t="n"/>
      <c r="N360" s="15" t="n"/>
      <c r="O360" s="15" t="n"/>
    </row>
    <row r="361">
      <c r="A361" s="15" t="n"/>
      <c r="B361" s="15" t="n"/>
      <c r="C361" s="15" t="n"/>
      <c r="D361" s="15" t="n"/>
      <c r="E361" s="15" t="n"/>
      <c r="F361" s="15" t="n"/>
      <c r="G361" s="15" t="n"/>
      <c r="H361" s="15" t="n"/>
      <c r="I361" s="15" t="n"/>
      <c r="J361" s="15" t="n"/>
      <c r="K361" s="15" t="n"/>
      <c r="L361" s="15" t="n"/>
      <c r="M361" s="15" t="n"/>
      <c r="N361" s="15" t="n"/>
      <c r="O361" s="15" t="n"/>
    </row>
    <row r="362">
      <c r="A362" s="15" t="n"/>
      <c r="B362" s="15" t="n"/>
      <c r="C362" s="15" t="n"/>
      <c r="D362" s="15" t="n"/>
      <c r="E362" s="15" t="n"/>
      <c r="F362" s="15" t="n"/>
      <c r="G362" s="15" t="n"/>
      <c r="H362" s="15" t="n"/>
      <c r="I362" s="15" t="n"/>
      <c r="J362" s="15" t="n"/>
      <c r="K362" s="15" t="n"/>
      <c r="L362" s="15" t="n"/>
      <c r="M362" s="15" t="n"/>
      <c r="N362" s="15" t="n"/>
      <c r="O362" s="15" t="n"/>
    </row>
    <row r="363">
      <c r="A363" s="15" t="n"/>
      <c r="B363" s="15" t="n"/>
      <c r="C363" s="15" t="n"/>
      <c r="D363" s="15" t="n"/>
      <c r="E363" s="15" t="n"/>
      <c r="F363" s="15" t="n"/>
      <c r="G363" s="15" t="n"/>
      <c r="H363" s="15" t="n"/>
      <c r="I363" s="15" t="n"/>
      <c r="J363" s="15" t="n"/>
      <c r="K363" s="15" t="n"/>
      <c r="L363" s="15" t="n"/>
      <c r="M363" s="15" t="n"/>
      <c r="N363" s="15" t="n"/>
      <c r="O363" s="15" t="n"/>
    </row>
    <row r="364">
      <c r="A364" s="15" t="n"/>
      <c r="B364" s="15" t="n"/>
      <c r="C364" s="15" t="n"/>
      <c r="D364" s="15" t="n"/>
      <c r="E364" s="15" t="n"/>
      <c r="F364" s="15" t="n"/>
      <c r="G364" s="15" t="n"/>
      <c r="H364" s="15" t="n"/>
      <c r="I364" s="15" t="n"/>
      <c r="J364" s="15" t="n"/>
      <c r="K364" s="15" t="n"/>
      <c r="L364" s="15" t="n"/>
      <c r="M364" s="15" t="n"/>
      <c r="N364" s="15" t="n"/>
      <c r="O364" s="15" t="n"/>
    </row>
    <row r="365">
      <c r="A365" s="15" t="n"/>
      <c r="B365" s="15" t="n"/>
      <c r="C365" s="15" t="n"/>
      <c r="D365" s="15" t="n"/>
      <c r="E365" s="15" t="n"/>
      <c r="F365" s="15" t="n"/>
      <c r="G365" s="15" t="n"/>
      <c r="H365" s="15" t="n"/>
      <c r="I365" s="15" t="n"/>
      <c r="J365" s="15" t="n"/>
      <c r="K365" s="15" t="n"/>
      <c r="L365" s="15" t="n"/>
      <c r="M365" s="15" t="n"/>
      <c r="N365" s="15" t="n"/>
      <c r="O365" s="15" t="n"/>
    </row>
    <row r="366">
      <c r="A366" s="15" t="n"/>
      <c r="B366" s="15" t="n"/>
      <c r="C366" s="15" t="n"/>
      <c r="D366" s="15" t="n"/>
      <c r="E366" s="15" t="n"/>
      <c r="F366" s="15" t="n"/>
      <c r="G366" s="15" t="n"/>
      <c r="H366" s="15" t="n"/>
      <c r="I366" s="15" t="n"/>
      <c r="J366" s="15" t="n"/>
      <c r="K366" s="15" t="n"/>
      <c r="L366" s="15" t="n"/>
      <c r="M366" s="15" t="n"/>
      <c r="N366" s="15" t="n"/>
      <c r="O366" s="15" t="n"/>
    </row>
    <row r="367">
      <c r="A367" s="15" t="n"/>
      <c r="B367" s="15" t="n"/>
      <c r="C367" s="15" t="n"/>
      <c r="D367" s="15" t="n"/>
      <c r="E367" s="15" t="n"/>
      <c r="F367" s="15" t="n"/>
      <c r="G367" s="15" t="n"/>
      <c r="H367" s="15" t="n"/>
      <c r="I367" s="15" t="n"/>
      <c r="J367" s="15" t="n"/>
      <c r="K367" s="15" t="n"/>
      <c r="L367" s="15" t="n"/>
      <c r="M367" s="15" t="n"/>
      <c r="N367" s="15" t="n"/>
      <c r="O367" s="15" t="n"/>
    </row>
    <row r="368">
      <c r="A368" s="15" t="n"/>
      <c r="B368" s="15" t="n"/>
      <c r="C368" s="15" t="n"/>
      <c r="D368" s="15" t="n"/>
      <c r="E368" s="15" t="n"/>
      <c r="F368" s="15" t="n"/>
      <c r="G368" s="15" t="n"/>
      <c r="H368" s="15" t="n"/>
      <c r="I368" s="15" t="n"/>
      <c r="J368" s="15" t="n"/>
      <c r="K368" s="15" t="n"/>
      <c r="L368" s="15" t="n"/>
      <c r="M368" s="15" t="n"/>
      <c r="N368" s="15" t="n"/>
      <c r="O368" s="15" t="n"/>
    </row>
    <row r="369">
      <c r="A369" s="15" t="n"/>
      <c r="B369" s="15" t="n"/>
      <c r="C369" s="15" t="n"/>
      <c r="D369" s="15" t="n"/>
      <c r="E369" s="15" t="n"/>
      <c r="F369" s="15" t="n"/>
      <c r="G369" s="15" t="n"/>
      <c r="H369" s="15" t="n"/>
      <c r="I369" s="15" t="n"/>
      <c r="J369" s="15" t="n"/>
      <c r="K369" s="15" t="n"/>
      <c r="L369" s="15" t="n"/>
      <c r="M369" s="15" t="n"/>
      <c r="N369" s="15" t="n"/>
      <c r="O369" s="15" t="n"/>
    </row>
    <row r="370">
      <c r="A370" s="15" t="n"/>
      <c r="B370" s="15" t="n"/>
      <c r="C370" s="15" t="n"/>
      <c r="D370" s="15" t="n"/>
      <c r="E370" s="15" t="n"/>
      <c r="F370" s="15" t="n"/>
      <c r="G370" s="15" t="n"/>
      <c r="H370" s="15" t="n"/>
      <c r="I370" s="15" t="n"/>
      <c r="J370" s="15" t="n"/>
      <c r="K370" s="15" t="n"/>
      <c r="L370" s="15" t="n"/>
      <c r="M370" s="15" t="n"/>
      <c r="N370" s="15" t="n"/>
      <c r="O370" s="15" t="n"/>
    </row>
    <row r="371">
      <c r="A371" s="15" t="n"/>
      <c r="B371" s="15" t="n"/>
      <c r="C371" s="15" t="n"/>
      <c r="D371" s="15" t="n"/>
      <c r="E371" s="15" t="n"/>
      <c r="F371" s="15" t="n"/>
      <c r="G371" s="15" t="n"/>
      <c r="H371" s="15" t="n"/>
      <c r="I371" s="15" t="n"/>
      <c r="J371" s="15" t="n"/>
      <c r="K371" s="15" t="n"/>
      <c r="L371" s="15" t="n"/>
      <c r="M371" s="15" t="n"/>
      <c r="N371" s="15" t="n"/>
      <c r="O371" s="15" t="n"/>
    </row>
    <row r="372">
      <c r="A372" s="15" t="n"/>
      <c r="B372" s="15" t="n"/>
      <c r="C372" s="15" t="n"/>
      <c r="D372" s="15" t="n"/>
      <c r="E372" s="15" t="n"/>
      <c r="F372" s="15" t="n"/>
      <c r="G372" s="15" t="n"/>
      <c r="H372" s="15" t="n"/>
      <c r="I372" s="15" t="n"/>
      <c r="J372" s="15" t="n"/>
      <c r="K372" s="15" t="n"/>
      <c r="L372" s="15" t="n"/>
      <c r="M372" s="15" t="n"/>
      <c r="N372" s="15" t="n"/>
      <c r="O372" s="15" t="n"/>
    </row>
    <row r="373">
      <c r="A373" s="15" t="n"/>
      <c r="B373" s="15" t="n"/>
      <c r="C373" s="15" t="n"/>
      <c r="D373" s="15" t="n"/>
      <c r="E373" s="15" t="n"/>
      <c r="F373" s="15" t="n"/>
      <c r="G373" s="15" t="n"/>
      <c r="H373" s="15" t="n"/>
      <c r="I373" s="15" t="n"/>
      <c r="J373" s="15" t="n"/>
      <c r="K373" s="15" t="n"/>
      <c r="L373" s="15" t="n"/>
      <c r="M373" s="15" t="n"/>
      <c r="N373" s="15" t="n"/>
      <c r="O373" s="15" t="n"/>
    </row>
    <row r="374">
      <c r="A374" s="15" t="n"/>
      <c r="B374" s="15" t="n"/>
      <c r="C374" s="15" t="n"/>
      <c r="D374" s="15" t="n"/>
      <c r="E374" s="15" t="n"/>
      <c r="F374" s="15" t="n"/>
      <c r="G374" s="15" t="n"/>
      <c r="H374" s="15" t="n"/>
      <c r="I374" s="15" t="n"/>
      <c r="J374" s="15" t="n"/>
      <c r="K374" s="15" t="n"/>
      <c r="L374" s="15" t="n"/>
      <c r="M374" s="15" t="n"/>
      <c r="N374" s="15" t="n"/>
      <c r="O374" s="15" t="n"/>
    </row>
    <row r="375">
      <c r="A375" s="15" t="n"/>
      <c r="B375" s="15" t="n"/>
      <c r="C375" s="15" t="n"/>
      <c r="D375" s="15" t="n"/>
      <c r="E375" s="15" t="n"/>
      <c r="F375" s="15" t="n"/>
      <c r="G375" s="15" t="n"/>
      <c r="H375" s="15" t="n"/>
      <c r="I375" s="15" t="n"/>
      <c r="J375" s="15" t="n"/>
      <c r="K375" s="15" t="n"/>
      <c r="L375" s="15" t="n"/>
      <c r="M375" s="15" t="n"/>
      <c r="N375" s="15" t="n"/>
      <c r="O375" s="15" t="n"/>
    </row>
    <row r="376">
      <c r="A376" s="15" t="n"/>
      <c r="B376" s="15" t="n"/>
      <c r="C376" s="15" t="n"/>
      <c r="D376" s="15" t="n"/>
      <c r="E376" s="15" t="n"/>
      <c r="F376" s="15" t="n"/>
      <c r="G376" s="15" t="n"/>
      <c r="H376" s="15" t="n"/>
      <c r="I376" s="15" t="n"/>
      <c r="J376" s="15" t="n"/>
      <c r="K376" s="15" t="n"/>
      <c r="L376" s="15" t="n"/>
      <c r="M376" s="15" t="n"/>
      <c r="N376" s="15" t="n"/>
      <c r="O376" s="15" t="n"/>
    </row>
    <row r="377">
      <c r="A377" s="15" t="n"/>
      <c r="B377" s="15" t="n"/>
      <c r="C377" s="15" t="n"/>
      <c r="D377" s="15" t="n"/>
      <c r="E377" s="15" t="n"/>
      <c r="F377" s="15" t="n"/>
      <c r="G377" s="15" t="n"/>
      <c r="H377" s="15" t="n"/>
      <c r="I377" s="15" t="n"/>
      <c r="J377" s="15" t="n"/>
      <c r="K377" s="15" t="n"/>
      <c r="L377" s="15" t="n"/>
      <c r="M377" s="15" t="n"/>
      <c r="N377" s="15" t="n"/>
      <c r="O377" s="15" t="n"/>
    </row>
    <row r="378">
      <c r="A378" s="15" t="n"/>
      <c r="B378" s="15" t="n"/>
      <c r="C378" s="15" t="n"/>
      <c r="D378" s="15" t="n"/>
      <c r="E378" s="15" t="n"/>
      <c r="F378" s="15" t="n"/>
      <c r="G378" s="15" t="n"/>
      <c r="H378" s="15" t="n"/>
      <c r="I378" s="15" t="n"/>
      <c r="J378" s="15" t="n"/>
      <c r="K378" s="15" t="n"/>
      <c r="L378" s="15" t="n"/>
      <c r="M378" s="15" t="n"/>
      <c r="N378" s="15" t="n"/>
      <c r="O378" s="15" t="n"/>
    </row>
    <row r="379">
      <c r="A379" s="15" t="n"/>
      <c r="B379" s="15" t="n"/>
      <c r="C379" s="15" t="n"/>
      <c r="D379" s="15" t="n"/>
      <c r="E379" s="15" t="n"/>
      <c r="F379" s="15" t="n"/>
      <c r="G379" s="15" t="n"/>
      <c r="H379" s="15" t="n"/>
      <c r="I379" s="15" t="n"/>
      <c r="J379" s="15" t="n"/>
      <c r="K379" s="15" t="n"/>
      <c r="L379" s="15" t="n"/>
      <c r="M379" s="15" t="n"/>
      <c r="N379" s="15" t="n"/>
      <c r="O379" s="15" t="n"/>
    </row>
    <row r="380">
      <c r="A380" s="15" t="n"/>
      <c r="B380" s="15" t="n"/>
      <c r="C380" s="15" t="n"/>
      <c r="D380" s="15" t="n"/>
      <c r="E380" s="15" t="n"/>
      <c r="F380" s="15" t="n"/>
      <c r="G380" s="15" t="n"/>
      <c r="H380" s="15" t="n"/>
      <c r="I380" s="15" t="n"/>
      <c r="J380" s="15" t="n"/>
      <c r="K380" s="15" t="n"/>
      <c r="L380" s="15" t="n"/>
      <c r="M380" s="15" t="n"/>
      <c r="N380" s="15" t="n"/>
      <c r="O380" s="15" t="n"/>
    </row>
    <row r="381">
      <c r="A381" s="15" t="n"/>
      <c r="B381" s="15" t="n"/>
      <c r="C381" s="15" t="n"/>
      <c r="D381" s="15" t="n"/>
      <c r="E381" s="15" t="n"/>
      <c r="F381" s="15" t="n"/>
      <c r="G381" s="15" t="n"/>
      <c r="H381" s="15" t="n"/>
      <c r="I381" s="15" t="n"/>
      <c r="J381" s="15" t="n"/>
      <c r="K381" s="15" t="n"/>
      <c r="L381" s="15" t="n"/>
      <c r="M381" s="15" t="n"/>
      <c r="N381" s="15" t="n"/>
      <c r="O381" s="15" t="n"/>
    </row>
    <row r="382">
      <c r="A382" s="15" t="n"/>
      <c r="B382" s="15" t="n"/>
      <c r="C382" s="15" t="n"/>
      <c r="D382" s="15" t="n"/>
      <c r="E382" s="15" t="n"/>
      <c r="F382" s="15" t="n"/>
      <c r="G382" s="15" t="n"/>
      <c r="H382" s="15" t="n"/>
      <c r="I382" s="15" t="n"/>
      <c r="J382" s="15" t="n"/>
      <c r="K382" s="15" t="n"/>
      <c r="L382" s="15" t="n"/>
      <c r="M382" s="15" t="n"/>
      <c r="N382" s="15" t="n"/>
      <c r="O382" s="15" t="n"/>
    </row>
    <row r="383">
      <c r="A383" s="15" t="n"/>
      <c r="B383" s="15" t="n"/>
      <c r="C383" s="15" t="n"/>
      <c r="D383" s="15" t="n"/>
      <c r="E383" s="15" t="n"/>
      <c r="F383" s="15" t="n"/>
      <c r="G383" s="15" t="n"/>
      <c r="H383" s="15" t="n"/>
      <c r="I383" s="15" t="n"/>
      <c r="J383" s="15" t="n"/>
      <c r="K383" s="15" t="n"/>
      <c r="L383" s="15" t="n"/>
      <c r="M383" s="15" t="n"/>
      <c r="N383" s="15" t="n"/>
      <c r="O383" s="15" t="n"/>
    </row>
    <row r="384">
      <c r="A384" s="15" t="n"/>
      <c r="B384" s="15" t="n"/>
      <c r="C384" s="15" t="n"/>
      <c r="D384" s="15" t="n"/>
      <c r="E384" s="15" t="n"/>
      <c r="F384" s="15" t="n"/>
      <c r="G384" s="15" t="n"/>
      <c r="H384" s="15" t="n"/>
      <c r="I384" s="15" t="n"/>
      <c r="J384" s="15" t="n"/>
      <c r="K384" s="15" t="n"/>
      <c r="L384" s="15" t="n"/>
      <c r="M384" s="15" t="n"/>
      <c r="N384" s="15" t="n"/>
      <c r="O384" s="15" t="n"/>
    </row>
    <row r="385">
      <c r="A385" s="15" t="n"/>
      <c r="B385" s="15" t="n"/>
      <c r="C385" s="15" t="n"/>
      <c r="D385" s="15" t="n"/>
      <c r="E385" s="15" t="n"/>
      <c r="F385" s="15" t="n"/>
      <c r="G385" s="15" t="n"/>
      <c r="H385" s="15" t="n"/>
      <c r="I385" s="15" t="n"/>
      <c r="J385" s="15" t="n"/>
      <c r="K385" s="15" t="n"/>
      <c r="L385" s="15" t="n"/>
      <c r="M385" s="15" t="n"/>
      <c r="N385" s="15" t="n"/>
      <c r="O385" s="15" t="n"/>
    </row>
    <row r="386">
      <c r="A386" s="15" t="n"/>
      <c r="B386" s="15" t="n"/>
      <c r="C386" s="15" t="n"/>
      <c r="D386" s="15" t="n"/>
      <c r="E386" s="15" t="n"/>
      <c r="F386" s="15" t="n"/>
      <c r="G386" s="15" t="n"/>
      <c r="H386" s="15" t="n"/>
      <c r="I386" s="15" t="n"/>
      <c r="J386" s="15" t="n"/>
      <c r="K386" s="15" t="n"/>
      <c r="L386" s="15" t="n"/>
      <c r="M386" s="15" t="n"/>
      <c r="N386" s="15" t="n"/>
      <c r="O386" s="15" t="n"/>
    </row>
    <row r="387">
      <c r="A387" s="15" t="n"/>
      <c r="B387" s="15" t="n"/>
      <c r="C387" s="15" t="n"/>
      <c r="D387" s="15" t="n"/>
      <c r="E387" s="15" t="n"/>
      <c r="F387" s="15" t="n"/>
      <c r="G387" s="15" t="n"/>
      <c r="H387" s="15" t="n"/>
      <c r="I387" s="15" t="n"/>
      <c r="J387" s="15" t="n"/>
      <c r="K387" s="15" t="n"/>
      <c r="L387" s="15" t="n"/>
      <c r="M387" s="15" t="n"/>
      <c r="N387" s="15" t="n"/>
      <c r="O387" s="15" t="n"/>
    </row>
    <row r="388">
      <c r="A388" s="15" t="n"/>
      <c r="B388" s="15" t="n"/>
      <c r="C388" s="15" t="n"/>
      <c r="D388" s="15" t="n"/>
      <c r="E388" s="15" t="n"/>
      <c r="F388" s="15" t="n"/>
      <c r="G388" s="15" t="n"/>
      <c r="H388" s="15" t="n"/>
      <c r="I388" s="15" t="n"/>
      <c r="J388" s="15" t="n"/>
      <c r="K388" s="15" t="n"/>
      <c r="L388" s="15" t="n"/>
      <c r="M388" s="15" t="n"/>
      <c r="N388" s="15" t="n"/>
      <c r="O388" s="15" t="n"/>
    </row>
    <row r="389">
      <c r="A389" s="15" t="n"/>
      <c r="B389" s="15" t="n"/>
      <c r="C389" s="15" t="n"/>
      <c r="D389" s="15" t="n"/>
      <c r="E389" s="15" t="n"/>
      <c r="F389" s="15" t="n"/>
      <c r="G389" s="15" t="n"/>
      <c r="H389" s="15" t="n"/>
      <c r="I389" s="15" t="n"/>
      <c r="J389" s="15" t="n"/>
      <c r="K389" s="15" t="n"/>
      <c r="L389" s="15" t="n"/>
      <c r="M389" s="15" t="n"/>
      <c r="N389" s="15" t="n"/>
      <c r="O389" s="15" t="n"/>
    </row>
    <row r="390">
      <c r="A390" s="15" t="n"/>
      <c r="B390" s="15" t="n"/>
      <c r="C390" s="15" t="n"/>
      <c r="D390" s="15" t="n"/>
      <c r="E390" s="15" t="n"/>
      <c r="F390" s="15" t="n"/>
      <c r="G390" s="15" t="n"/>
      <c r="H390" s="15" t="n"/>
      <c r="I390" s="15" t="n"/>
      <c r="J390" s="15" t="n"/>
      <c r="K390" s="15" t="n"/>
      <c r="L390" s="15" t="n"/>
      <c r="M390" s="15" t="n"/>
      <c r="N390" s="15" t="n"/>
      <c r="O390" s="15" t="n"/>
    </row>
    <row r="391">
      <c r="A391" s="15" t="n"/>
      <c r="B391" s="15" t="n"/>
      <c r="C391" s="15" t="n"/>
      <c r="D391" s="15" t="n"/>
      <c r="E391" s="15" t="n"/>
      <c r="F391" s="15" t="n"/>
      <c r="G391" s="15" t="n"/>
      <c r="H391" s="15" t="n"/>
      <c r="I391" s="15" t="n"/>
      <c r="J391" s="15" t="n"/>
      <c r="K391" s="15" t="n"/>
      <c r="L391" s="15" t="n"/>
      <c r="M391" s="15" t="n"/>
      <c r="N391" s="15" t="n"/>
      <c r="O391" s="15" t="n"/>
    </row>
    <row r="392">
      <c r="A392" s="15" t="n"/>
      <c r="B392" s="15" t="n"/>
      <c r="C392" s="15" t="n"/>
      <c r="D392" s="15" t="n"/>
      <c r="E392" s="15" t="n"/>
      <c r="F392" s="15" t="n"/>
      <c r="G392" s="15" t="n"/>
      <c r="H392" s="15" t="n"/>
      <c r="I392" s="15" t="n"/>
      <c r="J392" s="15" t="n"/>
      <c r="K392" s="15" t="n"/>
      <c r="L392" s="15" t="n"/>
      <c r="M392" s="15" t="n"/>
      <c r="N392" s="15" t="n"/>
      <c r="O392" s="15" t="n"/>
    </row>
    <row r="393">
      <c r="A393" s="15" t="n"/>
      <c r="B393" s="15" t="n"/>
      <c r="C393" s="15" t="n"/>
      <c r="D393" s="15" t="n"/>
      <c r="E393" s="15" t="n"/>
      <c r="F393" s="15" t="n"/>
      <c r="G393" s="15" t="n"/>
      <c r="H393" s="15" t="n"/>
      <c r="I393" s="15" t="n"/>
      <c r="J393" s="15" t="n"/>
      <c r="K393" s="15" t="n"/>
      <c r="L393" s="15" t="n"/>
      <c r="M393" s="15" t="n"/>
      <c r="N393" s="15" t="n"/>
      <c r="O393" s="15" t="n"/>
    </row>
    <row r="394">
      <c r="A394" s="15" t="n"/>
      <c r="B394" s="15" t="n"/>
      <c r="C394" s="15" t="n"/>
      <c r="D394" s="15" t="n"/>
      <c r="E394" s="15" t="n"/>
      <c r="F394" s="15" t="n"/>
      <c r="G394" s="15" t="n"/>
      <c r="H394" s="15" t="n"/>
      <c r="I394" s="15" t="n"/>
      <c r="J394" s="15" t="n"/>
      <c r="K394" s="15" t="n"/>
      <c r="L394" s="15" t="n"/>
      <c r="M394" s="15" t="n"/>
      <c r="N394" s="15" t="n"/>
      <c r="O394" s="15" t="n"/>
    </row>
    <row r="395">
      <c r="A395" s="15" t="n"/>
      <c r="B395" s="15" t="n"/>
      <c r="C395" s="15" t="n"/>
      <c r="D395" s="15" t="n"/>
      <c r="E395" s="15" t="n"/>
      <c r="F395" s="15" t="n"/>
      <c r="G395" s="15" t="n"/>
      <c r="H395" s="15" t="n"/>
      <c r="I395" s="15" t="n"/>
      <c r="J395" s="15" t="n"/>
      <c r="K395" s="15" t="n"/>
      <c r="L395" s="15" t="n"/>
      <c r="M395" s="15" t="n"/>
      <c r="N395" s="15" t="n"/>
      <c r="O395" s="15" t="n"/>
    </row>
    <row r="396">
      <c r="A396" s="15" t="n"/>
      <c r="B396" s="15" t="n"/>
      <c r="C396" s="15" t="n"/>
      <c r="D396" s="15" t="n"/>
      <c r="E396" s="15" t="n"/>
      <c r="F396" s="15" t="n"/>
      <c r="G396" s="15" t="n"/>
      <c r="H396" s="15" t="n"/>
      <c r="I396" s="15" t="n"/>
      <c r="J396" s="15" t="n"/>
      <c r="K396" s="15" t="n"/>
      <c r="L396" s="15" t="n"/>
      <c r="M396" s="15" t="n"/>
      <c r="N396" s="15" t="n"/>
      <c r="O396" s="15" t="n"/>
    </row>
    <row r="397">
      <c r="A397" s="15" t="n"/>
      <c r="B397" s="15" t="n"/>
      <c r="C397" s="15" t="n"/>
      <c r="D397" s="15" t="n"/>
      <c r="E397" s="15" t="n"/>
      <c r="F397" s="15" t="n"/>
      <c r="G397" s="15" t="n"/>
      <c r="H397" s="15" t="n"/>
      <c r="I397" s="15" t="n"/>
      <c r="J397" s="15" t="n"/>
      <c r="K397" s="15" t="n"/>
      <c r="L397" s="15" t="n"/>
      <c r="M397" s="15" t="n"/>
      <c r="N397" s="15" t="n"/>
      <c r="O397" s="15" t="n"/>
    </row>
    <row r="398">
      <c r="A398" s="15" t="n"/>
      <c r="B398" s="15" t="n"/>
      <c r="C398" s="15" t="n"/>
      <c r="D398" s="15" t="n"/>
      <c r="E398" s="15" t="n"/>
      <c r="F398" s="15" t="n"/>
      <c r="G398" s="15" t="n"/>
      <c r="H398" s="15" t="n"/>
      <c r="I398" s="15" t="n"/>
      <c r="J398" s="15" t="n"/>
      <c r="K398" s="15" t="n"/>
      <c r="L398" s="15" t="n"/>
      <c r="M398" s="15" t="n"/>
      <c r="N398" s="15" t="n"/>
      <c r="O398" s="15" t="n"/>
    </row>
    <row r="399">
      <c r="A399" s="15" t="n"/>
      <c r="B399" s="15" t="n"/>
      <c r="C399" s="15" t="n"/>
      <c r="D399" s="15" t="n"/>
      <c r="E399" s="15" t="n"/>
      <c r="F399" s="15" t="n"/>
      <c r="G399" s="15" t="n"/>
      <c r="H399" s="15" t="n"/>
      <c r="I399" s="15" t="n"/>
      <c r="J399" s="15" t="n"/>
      <c r="K399" s="15" t="n"/>
      <c r="L399" s="15" t="n"/>
      <c r="M399" s="15" t="n"/>
      <c r="N399" s="15" t="n"/>
      <c r="O399" s="15" t="n"/>
    </row>
    <row r="400">
      <c r="A400" s="15" t="n"/>
      <c r="B400" s="15" t="n"/>
      <c r="C400" s="15" t="n"/>
      <c r="D400" s="15" t="n"/>
      <c r="E400" s="15" t="n"/>
      <c r="F400" s="15" t="n"/>
      <c r="G400" s="15" t="n"/>
      <c r="H400" s="15" t="n"/>
      <c r="I400" s="15" t="n"/>
      <c r="J400" s="15" t="n"/>
      <c r="K400" s="15" t="n"/>
      <c r="L400" s="15" t="n"/>
      <c r="M400" s="15" t="n"/>
      <c r="N400" s="15" t="n"/>
      <c r="O400" s="15" t="n"/>
    </row>
    <row r="401">
      <c r="A401" s="15" t="n"/>
      <c r="B401" s="15" t="n"/>
      <c r="C401" s="15" t="n"/>
      <c r="D401" s="15" t="n"/>
      <c r="E401" s="15" t="n"/>
      <c r="F401" s="15" t="n"/>
      <c r="G401" s="15" t="n"/>
      <c r="H401" s="15" t="n"/>
      <c r="I401" s="15" t="n"/>
      <c r="J401" s="15" t="n"/>
      <c r="K401" s="15" t="n"/>
      <c r="L401" s="15" t="n"/>
      <c r="M401" s="15" t="n"/>
      <c r="N401" s="15" t="n"/>
      <c r="O401" s="15" t="n"/>
    </row>
    <row r="402">
      <c r="A402" s="15" t="n"/>
      <c r="B402" s="15" t="n"/>
      <c r="C402" s="15" t="n"/>
      <c r="D402" s="15" t="n"/>
      <c r="E402" s="15" t="n"/>
      <c r="F402" s="15" t="n"/>
      <c r="G402" s="15" t="n"/>
      <c r="H402" s="15" t="n"/>
      <c r="I402" s="15" t="n"/>
      <c r="J402" s="15" t="n"/>
      <c r="K402" s="15" t="n"/>
      <c r="L402" s="15" t="n"/>
      <c r="M402" s="15" t="n"/>
      <c r="N402" s="15" t="n"/>
      <c r="O402" s="15" t="n"/>
    </row>
    <row r="403">
      <c r="A403" s="15" t="n"/>
      <c r="B403" s="15" t="n"/>
      <c r="C403" s="15" t="n"/>
      <c r="D403" s="15" t="n"/>
      <c r="E403" s="15" t="n"/>
      <c r="F403" s="15" t="n"/>
      <c r="G403" s="15" t="n"/>
      <c r="H403" s="15" t="n"/>
      <c r="I403" s="15" t="n"/>
      <c r="J403" s="15" t="n"/>
      <c r="K403" s="15" t="n"/>
      <c r="L403" s="15" t="n"/>
      <c r="M403" s="15" t="n"/>
      <c r="N403" s="15" t="n"/>
      <c r="O403" s="15" t="n"/>
    </row>
    <row r="404">
      <c r="A404" s="15" t="n"/>
      <c r="B404" s="15" t="n"/>
      <c r="C404" s="15" t="n"/>
      <c r="D404" s="15" t="n"/>
      <c r="E404" s="15" t="n"/>
      <c r="F404" s="15" t="n"/>
      <c r="G404" s="15" t="n"/>
      <c r="H404" s="15" t="n"/>
      <c r="I404" s="15" t="n"/>
      <c r="J404" s="15" t="n"/>
      <c r="K404" s="15" t="n"/>
      <c r="L404" s="15" t="n"/>
      <c r="M404" s="15" t="n"/>
      <c r="N404" s="15" t="n"/>
      <c r="O404" s="15" t="n"/>
    </row>
    <row r="405">
      <c r="A405" s="15" t="n"/>
      <c r="B405" s="15" t="n"/>
      <c r="C405" s="15" t="n"/>
      <c r="D405" s="15" t="n"/>
      <c r="E405" s="15" t="n"/>
      <c r="F405" s="15" t="n"/>
      <c r="G405" s="15" t="n"/>
      <c r="H405" s="15" t="n"/>
      <c r="I405" s="15" t="n"/>
      <c r="J405" s="15" t="n"/>
      <c r="K405" s="15" t="n"/>
      <c r="L405" s="15" t="n"/>
      <c r="M405" s="15" t="n"/>
      <c r="N405" s="15" t="n"/>
      <c r="O405" s="15" t="n"/>
    </row>
    <row r="406">
      <c r="A406" s="15" t="n"/>
      <c r="B406" s="15" t="n"/>
      <c r="C406" s="15" t="n"/>
      <c r="D406" s="15" t="n"/>
      <c r="E406" s="15" t="n"/>
      <c r="F406" s="15" t="n"/>
      <c r="G406" s="15" t="n"/>
      <c r="H406" s="15" t="n"/>
      <c r="I406" s="15" t="n"/>
      <c r="J406" s="15" t="n"/>
      <c r="K406" s="15" t="n"/>
      <c r="L406" s="15" t="n"/>
      <c r="M406" s="15" t="n"/>
      <c r="N406" s="15" t="n"/>
      <c r="O406" s="15" t="n"/>
    </row>
    <row r="407">
      <c r="A407" s="15" t="n"/>
      <c r="B407" s="15" t="n"/>
      <c r="C407" s="15" t="n"/>
      <c r="D407" s="15" t="n"/>
      <c r="E407" s="15" t="n"/>
      <c r="F407" s="15" t="n"/>
      <c r="G407" s="15" t="n"/>
      <c r="H407" s="15" t="n"/>
      <c r="I407" s="15" t="n"/>
      <c r="J407" s="15" t="n"/>
      <c r="K407" s="15" t="n"/>
      <c r="L407" s="15" t="n"/>
      <c r="M407" s="15" t="n"/>
      <c r="N407" s="15" t="n"/>
      <c r="O407" s="15" t="n"/>
    </row>
    <row r="408">
      <c r="A408" s="15" t="n"/>
      <c r="B408" s="15" t="n"/>
      <c r="C408" s="15" t="n"/>
      <c r="D408" s="15" t="n"/>
      <c r="E408" s="15" t="n"/>
      <c r="F408" s="15" t="n"/>
      <c r="G408" s="15" t="n"/>
      <c r="H408" s="15" t="n"/>
      <c r="I408" s="15" t="n"/>
      <c r="J408" s="15" t="n"/>
      <c r="K408" s="15" t="n"/>
      <c r="L408" s="15" t="n"/>
      <c r="M408" s="15" t="n"/>
      <c r="N408" s="15" t="n"/>
      <c r="O408" s="15" t="n"/>
    </row>
    <row r="409">
      <c r="A409" s="15" t="n"/>
      <c r="B409" s="15" t="n"/>
      <c r="C409" s="15" t="n"/>
      <c r="D409" s="15" t="n"/>
      <c r="E409" s="15" t="n"/>
      <c r="F409" s="15" t="n"/>
      <c r="G409" s="15" t="n"/>
      <c r="H409" s="15" t="n"/>
      <c r="I409" s="15" t="n"/>
      <c r="J409" s="15" t="n"/>
      <c r="K409" s="15" t="n"/>
      <c r="L409" s="15" t="n"/>
      <c r="M409" s="15" t="n"/>
      <c r="N409" s="15" t="n"/>
      <c r="O409" s="15" t="n"/>
    </row>
    <row r="410">
      <c r="A410" s="15" t="n"/>
      <c r="B410" s="15" t="n"/>
      <c r="C410" s="15" t="n"/>
      <c r="D410" s="15" t="n"/>
      <c r="E410" s="15" t="n"/>
      <c r="F410" s="15" t="n"/>
      <c r="G410" s="15" t="n"/>
      <c r="H410" s="15" t="n"/>
      <c r="I410" s="15" t="n"/>
      <c r="J410" s="15" t="n"/>
      <c r="K410" s="15" t="n"/>
      <c r="L410" s="15" t="n"/>
      <c r="M410" s="15" t="n"/>
      <c r="N410" s="15" t="n"/>
      <c r="O410" s="15" t="n"/>
    </row>
    <row r="411">
      <c r="A411" s="15" t="n"/>
      <c r="B411" s="15" t="n"/>
      <c r="C411" s="15" t="n"/>
      <c r="D411" s="15" t="n"/>
      <c r="E411" s="15" t="n"/>
      <c r="F411" s="15" t="n"/>
      <c r="G411" s="15" t="n"/>
      <c r="H411" s="15" t="n"/>
      <c r="I411" s="15" t="n"/>
      <c r="J411" s="15" t="n"/>
      <c r="K411" s="15" t="n"/>
      <c r="L411" s="15" t="n"/>
      <c r="M411" s="15" t="n"/>
      <c r="N411" s="15" t="n"/>
      <c r="O411" s="15" t="n"/>
    </row>
    <row r="412">
      <c r="A412" s="15" t="n"/>
      <c r="B412" s="15" t="n"/>
      <c r="C412" s="15" t="n"/>
      <c r="D412" s="15" t="n"/>
      <c r="E412" s="15" t="n"/>
      <c r="F412" s="15" t="n"/>
      <c r="G412" s="15" t="n"/>
      <c r="H412" s="15" t="n"/>
      <c r="I412" s="15" t="n"/>
      <c r="J412" s="15" t="n"/>
      <c r="K412" s="15" t="n"/>
      <c r="L412" s="15" t="n"/>
      <c r="M412" s="15" t="n"/>
      <c r="N412" s="15" t="n"/>
      <c r="O412" s="15" t="n"/>
    </row>
    <row r="413">
      <c r="A413" s="15" t="n"/>
      <c r="B413" s="15" t="n"/>
      <c r="C413" s="15" t="n"/>
      <c r="D413" s="15" t="n"/>
      <c r="E413" s="15" t="n"/>
      <c r="F413" s="15" t="n"/>
      <c r="G413" s="15" t="n"/>
      <c r="H413" s="15" t="n"/>
      <c r="I413" s="15" t="n"/>
      <c r="J413" s="15" t="n"/>
      <c r="K413" s="15" t="n"/>
      <c r="L413" s="15" t="n"/>
      <c r="M413" s="15" t="n"/>
      <c r="N413" s="15" t="n"/>
      <c r="O413" s="15" t="n"/>
    </row>
    <row r="414">
      <c r="A414" s="15" t="n"/>
      <c r="B414" s="15" t="n"/>
      <c r="C414" s="15" t="n"/>
      <c r="D414" s="15" t="n"/>
      <c r="E414" s="15" t="n"/>
      <c r="F414" s="15" t="n"/>
      <c r="G414" s="15" t="n"/>
      <c r="H414" s="15" t="n"/>
      <c r="I414" s="15" t="n"/>
      <c r="J414" s="15" t="n"/>
      <c r="K414" s="15" t="n"/>
      <c r="L414" s="15" t="n"/>
      <c r="M414" s="15" t="n"/>
      <c r="N414" s="15" t="n"/>
      <c r="O414" s="15" t="n"/>
    </row>
    <row r="415">
      <c r="A415" s="15" t="n"/>
      <c r="B415" s="15" t="n"/>
      <c r="C415" s="15" t="n"/>
      <c r="D415" s="15" t="n"/>
      <c r="E415" s="15" t="n"/>
      <c r="F415" s="15" t="n"/>
      <c r="G415" s="15" t="n"/>
      <c r="H415" s="15" t="n"/>
      <c r="I415" s="15" t="n"/>
      <c r="J415" s="15" t="n"/>
      <c r="K415" s="15" t="n"/>
      <c r="L415" s="15" t="n"/>
      <c r="M415" s="15" t="n"/>
      <c r="N415" s="15" t="n"/>
      <c r="O415" s="15" t="n"/>
    </row>
    <row r="416">
      <c r="A416" s="15" t="n"/>
      <c r="B416" s="15" t="n"/>
      <c r="C416" s="15" t="n"/>
      <c r="D416" s="15" t="n"/>
      <c r="E416" s="15" t="n"/>
      <c r="F416" s="15" t="n"/>
      <c r="G416" s="15" t="n"/>
      <c r="H416" s="15" t="n"/>
      <c r="I416" s="15" t="n"/>
      <c r="J416" s="15" t="n"/>
      <c r="K416" s="15" t="n"/>
      <c r="L416" s="15" t="n"/>
      <c r="M416" s="15" t="n"/>
      <c r="N416" s="15" t="n"/>
      <c r="O416" s="15" t="n"/>
    </row>
    <row r="417">
      <c r="A417" s="15" t="n"/>
      <c r="B417" s="15" t="n"/>
      <c r="C417" s="15" t="n"/>
      <c r="D417" s="15" t="n"/>
      <c r="E417" s="15" t="n"/>
      <c r="F417" s="15" t="n"/>
      <c r="G417" s="15" t="n"/>
      <c r="H417" s="15" t="n"/>
      <c r="I417" s="15" t="n"/>
      <c r="J417" s="15" t="n"/>
      <c r="K417" s="15" t="n"/>
      <c r="L417" s="15" t="n"/>
      <c r="M417" s="15" t="n"/>
      <c r="N417" s="15" t="n"/>
      <c r="O417" s="15" t="n"/>
    </row>
    <row r="418">
      <c r="A418" s="15" t="n"/>
      <c r="B418" s="15" t="n"/>
      <c r="C418" s="15" t="n"/>
      <c r="D418" s="15" t="n"/>
      <c r="E418" s="15" t="n"/>
      <c r="F418" s="15" t="n"/>
      <c r="G418" s="15" t="n"/>
      <c r="H418" s="15" t="n"/>
      <c r="I418" s="15" t="n"/>
      <c r="J418" s="15" t="n"/>
      <c r="K418" s="15" t="n"/>
      <c r="L418" s="15" t="n"/>
      <c r="M418" s="15" t="n"/>
      <c r="N418" s="15" t="n"/>
      <c r="O418" s="15" t="n"/>
    </row>
    <row r="419">
      <c r="A419" s="15" t="n"/>
      <c r="B419" s="15" t="n"/>
      <c r="C419" s="15" t="n"/>
      <c r="D419" s="15" t="n"/>
      <c r="E419" s="15" t="n"/>
      <c r="F419" s="15" t="n"/>
      <c r="G419" s="15" t="n"/>
      <c r="H419" s="15" t="n"/>
      <c r="I419" s="15" t="n"/>
      <c r="J419" s="15" t="n"/>
      <c r="K419" s="15" t="n"/>
      <c r="L419" s="15" t="n"/>
      <c r="M419" s="15" t="n"/>
      <c r="N419" s="15" t="n"/>
      <c r="O419" s="15" t="n"/>
    </row>
    <row r="420">
      <c r="A420" s="15" t="n"/>
      <c r="B420" s="15" t="n"/>
      <c r="C420" s="15" t="n"/>
      <c r="D420" s="15" t="n"/>
      <c r="E420" s="15" t="n"/>
      <c r="F420" s="15" t="n"/>
      <c r="G420" s="15" t="n"/>
      <c r="H420" s="15" t="n"/>
      <c r="I420" s="15" t="n"/>
      <c r="J420" s="15" t="n"/>
      <c r="K420" s="15" t="n"/>
      <c r="L420" s="15" t="n"/>
      <c r="M420" s="15" t="n"/>
      <c r="N420" s="15" t="n"/>
      <c r="O420" s="15" t="n"/>
    </row>
    <row r="421">
      <c r="A421" s="15" t="n"/>
      <c r="B421" s="15" t="n"/>
      <c r="C421" s="15" t="n"/>
      <c r="D421" s="15" t="n"/>
      <c r="E421" s="15" t="n"/>
      <c r="F421" s="15" t="n"/>
      <c r="G421" s="15" t="n"/>
      <c r="H421" s="15" t="n"/>
      <c r="I421" s="15" t="n"/>
      <c r="J421" s="15" t="n"/>
      <c r="K421" s="15" t="n"/>
      <c r="L421" s="15" t="n"/>
      <c r="M421" s="15" t="n"/>
      <c r="N421" s="15" t="n"/>
      <c r="O421" s="15" t="n"/>
    </row>
    <row r="422">
      <c r="A422" s="15" t="n"/>
      <c r="B422" s="15" t="n"/>
      <c r="C422" s="15" t="n"/>
      <c r="D422" s="15" t="n"/>
      <c r="E422" s="15" t="n"/>
      <c r="F422" s="15" t="n"/>
      <c r="G422" s="15" t="n"/>
      <c r="H422" s="15" t="n"/>
      <c r="I422" s="15" t="n"/>
      <c r="J422" s="15" t="n"/>
      <c r="K422" s="15" t="n"/>
      <c r="L422" s="15" t="n"/>
      <c r="M422" s="15" t="n"/>
      <c r="N422" s="15" t="n"/>
      <c r="O422" s="15" t="n"/>
    </row>
    <row r="423">
      <c r="A423" s="15" t="n"/>
      <c r="B423" s="15" t="n"/>
      <c r="C423" s="15" t="n"/>
      <c r="D423" s="15" t="n"/>
      <c r="E423" s="15" t="n"/>
      <c r="F423" s="15" t="n"/>
      <c r="G423" s="15" t="n"/>
      <c r="H423" s="15" t="n"/>
      <c r="I423" s="15" t="n"/>
      <c r="J423" s="15" t="n"/>
      <c r="K423" s="15" t="n"/>
      <c r="L423" s="15" t="n"/>
      <c r="M423" s="15" t="n"/>
      <c r="N423" s="15" t="n"/>
      <c r="O423" s="15" t="n"/>
    </row>
    <row r="424">
      <c r="A424" s="15" t="n"/>
      <c r="B424" s="15" t="n"/>
      <c r="C424" s="15" t="n"/>
      <c r="D424" s="15" t="n"/>
      <c r="E424" s="15" t="n"/>
      <c r="F424" s="15" t="n"/>
      <c r="G424" s="15" t="n"/>
      <c r="H424" s="15" t="n"/>
      <c r="I424" s="15" t="n"/>
      <c r="J424" s="15" t="n"/>
      <c r="K424" s="15" t="n"/>
      <c r="L424" s="15" t="n"/>
      <c r="M424" s="15" t="n"/>
      <c r="N424" s="15" t="n"/>
      <c r="O424" s="15" t="n"/>
    </row>
    <row r="425">
      <c r="A425" s="15" t="n"/>
      <c r="B425" s="15" t="n"/>
      <c r="C425" s="15" t="n"/>
      <c r="D425" s="15" t="n"/>
      <c r="E425" s="15" t="n"/>
      <c r="F425" s="15" t="n"/>
      <c r="G425" s="15" t="n"/>
      <c r="H425" s="15" t="n"/>
      <c r="I425" s="15" t="n"/>
      <c r="J425" s="15" t="n"/>
      <c r="K425" s="15" t="n"/>
      <c r="L425" s="15" t="n"/>
      <c r="M425" s="15" t="n"/>
      <c r="N425" s="15" t="n"/>
      <c r="O425" s="15" t="n"/>
    </row>
    <row r="426">
      <c r="A426" s="15" t="n"/>
      <c r="B426" s="15" t="n"/>
      <c r="C426" s="15" t="n"/>
      <c r="D426" s="15" t="n"/>
      <c r="E426" s="15" t="n"/>
      <c r="F426" s="15" t="n"/>
      <c r="G426" s="15" t="n"/>
      <c r="H426" s="15" t="n"/>
      <c r="I426" s="15" t="n"/>
      <c r="J426" s="15" t="n"/>
      <c r="K426" s="15" t="n"/>
      <c r="L426" s="15" t="n"/>
      <c r="M426" s="15" t="n"/>
      <c r="N426" s="15" t="n"/>
      <c r="O426" s="15" t="n"/>
    </row>
    <row r="427">
      <c r="A427" s="15" t="n"/>
      <c r="B427" s="15" t="n"/>
      <c r="C427" s="15" t="n"/>
      <c r="D427" s="15" t="n"/>
      <c r="E427" s="15" t="n"/>
      <c r="F427" s="15" t="n"/>
      <c r="G427" s="15" t="n"/>
      <c r="H427" s="15" t="n"/>
      <c r="I427" s="15" t="n"/>
      <c r="J427" s="15" t="n"/>
      <c r="K427" s="15" t="n"/>
      <c r="L427" s="15" t="n"/>
      <c r="M427" s="15" t="n"/>
      <c r="N427" s="15" t="n"/>
      <c r="O427" s="15" t="n"/>
    </row>
    <row r="428">
      <c r="A428" s="15" t="n"/>
      <c r="B428" s="15" t="n"/>
      <c r="C428" s="15" t="n"/>
      <c r="D428" s="15" t="n"/>
      <c r="E428" s="15" t="n"/>
      <c r="F428" s="15" t="n"/>
      <c r="G428" s="15" t="n"/>
      <c r="H428" s="15" t="n"/>
      <c r="I428" s="15" t="n"/>
      <c r="J428" s="15" t="n"/>
      <c r="K428" s="15" t="n"/>
      <c r="L428" s="15" t="n"/>
      <c r="M428" s="15" t="n"/>
      <c r="N428" s="15" t="n"/>
      <c r="O428" s="15" t="n"/>
    </row>
    <row r="429">
      <c r="A429" s="15" t="n"/>
      <c r="B429" s="15" t="n"/>
      <c r="C429" s="15" t="n"/>
      <c r="D429" s="15" t="n"/>
      <c r="E429" s="15" t="n"/>
      <c r="F429" s="15" t="n"/>
      <c r="G429" s="15" t="n"/>
      <c r="H429" s="15" t="n"/>
      <c r="I429" s="15" t="n"/>
      <c r="J429" s="15" t="n"/>
      <c r="K429" s="15" t="n"/>
      <c r="L429" s="15" t="n"/>
      <c r="M429" s="15" t="n"/>
      <c r="N429" s="15" t="n"/>
      <c r="O429" s="15" t="n"/>
    </row>
    <row r="430">
      <c r="A430" s="15" t="n"/>
      <c r="B430" s="15" t="n"/>
      <c r="C430" s="15" t="n"/>
      <c r="D430" s="15" t="n"/>
      <c r="E430" s="15" t="n"/>
      <c r="F430" s="15" t="n"/>
      <c r="G430" s="15" t="n"/>
      <c r="H430" s="15" t="n"/>
      <c r="I430" s="15" t="n"/>
      <c r="J430" s="15" t="n"/>
      <c r="K430" s="15" t="n"/>
      <c r="L430" s="15" t="n"/>
      <c r="M430" s="15" t="n"/>
      <c r="N430" s="15" t="n"/>
      <c r="O430" s="15" t="n"/>
    </row>
    <row r="431">
      <c r="A431" s="15" t="n"/>
      <c r="B431" s="15" t="n"/>
      <c r="C431" s="15" t="n"/>
      <c r="D431" s="15" t="n"/>
      <c r="E431" s="15" t="n"/>
      <c r="F431" s="15" t="n"/>
      <c r="G431" s="15" t="n"/>
      <c r="H431" s="15" t="n"/>
      <c r="I431" s="15" t="n"/>
      <c r="J431" s="15" t="n"/>
      <c r="K431" s="15" t="n"/>
      <c r="L431" s="15" t="n"/>
      <c r="M431" s="15" t="n"/>
      <c r="N431" s="15" t="n"/>
      <c r="O431" s="15" t="n"/>
    </row>
    <row r="432">
      <c r="A432" s="15" t="n"/>
      <c r="B432" s="15" t="n"/>
      <c r="C432" s="15" t="n"/>
      <c r="D432" s="15" t="n"/>
      <c r="E432" s="15" t="n"/>
      <c r="F432" s="15" t="n"/>
      <c r="G432" s="15" t="n"/>
      <c r="H432" s="15" t="n"/>
      <c r="I432" s="15" t="n"/>
      <c r="J432" s="15" t="n"/>
      <c r="K432" s="15" t="n"/>
      <c r="L432" s="15" t="n"/>
      <c r="M432" s="15" t="n"/>
      <c r="N432" s="15" t="n"/>
      <c r="O432" s="15" t="n"/>
    </row>
    <row r="433">
      <c r="A433" s="15" t="n"/>
      <c r="B433" s="15" t="n"/>
      <c r="C433" s="15" t="n"/>
      <c r="D433" s="15" t="n"/>
      <c r="E433" s="15" t="n"/>
      <c r="F433" s="15" t="n"/>
      <c r="G433" s="15" t="n"/>
      <c r="H433" s="15" t="n"/>
      <c r="I433" s="15" t="n"/>
      <c r="J433" s="15" t="n"/>
      <c r="K433" s="15" t="n"/>
      <c r="L433" s="15" t="n"/>
      <c r="M433" s="15" t="n"/>
      <c r="N433" s="15" t="n"/>
      <c r="O433" s="15" t="n"/>
    </row>
    <row r="434">
      <c r="A434" s="15" t="n"/>
      <c r="B434" s="15" t="n"/>
      <c r="C434" s="15" t="n"/>
      <c r="D434" s="15" t="n"/>
      <c r="E434" s="15" t="n"/>
      <c r="F434" s="15" t="n"/>
      <c r="G434" s="15" t="n"/>
      <c r="H434" s="15" t="n"/>
      <c r="I434" s="15" t="n"/>
      <c r="J434" s="15" t="n"/>
      <c r="K434" s="15" t="n"/>
      <c r="L434" s="15" t="n"/>
      <c r="M434" s="15" t="n"/>
      <c r="N434" s="15" t="n"/>
      <c r="O434" s="15" t="n"/>
    </row>
    <row r="435">
      <c r="A435" s="15" t="n"/>
      <c r="B435" s="15" t="n"/>
      <c r="C435" s="15" t="n"/>
      <c r="D435" s="15" t="n"/>
      <c r="E435" s="15" t="n"/>
      <c r="F435" s="15" t="n"/>
      <c r="G435" s="15" t="n"/>
      <c r="H435" s="15" t="n"/>
      <c r="I435" s="15" t="n"/>
      <c r="J435" s="15" t="n"/>
      <c r="K435" s="15" t="n"/>
      <c r="L435" s="15" t="n"/>
      <c r="M435" s="15" t="n"/>
      <c r="N435" s="15" t="n"/>
      <c r="O435" s="15" t="n"/>
    </row>
    <row r="436">
      <c r="A436" s="15" t="n"/>
      <c r="B436" s="15" t="n"/>
      <c r="C436" s="15" t="n"/>
      <c r="D436" s="15" t="n"/>
      <c r="E436" s="15" t="n"/>
      <c r="F436" s="15" t="n"/>
      <c r="G436" s="15" t="n"/>
      <c r="H436" s="15" t="n"/>
      <c r="I436" s="15" t="n"/>
      <c r="J436" s="15" t="n"/>
      <c r="K436" s="15" t="n"/>
      <c r="L436" s="15" t="n"/>
      <c r="M436" s="15" t="n"/>
      <c r="N436" s="15" t="n"/>
      <c r="O436" s="15" t="n"/>
    </row>
    <row r="437">
      <c r="A437" s="15" t="n"/>
      <c r="B437" s="15" t="n"/>
      <c r="C437" s="15" t="n"/>
      <c r="D437" s="15" t="n"/>
      <c r="E437" s="15" t="n"/>
      <c r="F437" s="15" t="n"/>
      <c r="G437" s="15" t="n"/>
      <c r="H437" s="15" t="n"/>
      <c r="I437" s="15" t="n"/>
      <c r="J437" s="15" t="n"/>
      <c r="K437" s="15" t="n"/>
      <c r="L437" s="15" t="n"/>
      <c r="M437" s="15" t="n"/>
      <c r="N437" s="15" t="n"/>
      <c r="O437" s="15" t="n"/>
    </row>
    <row r="438">
      <c r="A438" s="15" t="n"/>
      <c r="B438" s="15" t="n"/>
      <c r="C438" s="15" t="n"/>
      <c r="D438" s="15" t="n"/>
      <c r="E438" s="15" t="n"/>
      <c r="F438" s="15" t="n"/>
      <c r="G438" s="15" t="n"/>
      <c r="H438" s="15" t="n"/>
      <c r="I438" s="15" t="n"/>
      <c r="J438" s="15" t="n"/>
      <c r="K438" s="15" t="n"/>
      <c r="L438" s="15" t="n"/>
      <c r="M438" s="15" t="n"/>
      <c r="N438" s="15" t="n"/>
      <c r="O438" s="15" t="n"/>
    </row>
    <row r="439">
      <c r="A439" s="15" t="n"/>
      <c r="B439" s="15" t="n"/>
      <c r="C439" s="15" t="n"/>
      <c r="D439" s="15" t="n"/>
      <c r="E439" s="15" t="n"/>
      <c r="F439" s="15" t="n"/>
      <c r="G439" s="15" t="n"/>
      <c r="H439" s="15" t="n"/>
      <c r="I439" s="15" t="n"/>
      <c r="J439" s="15" t="n"/>
      <c r="K439" s="15" t="n"/>
      <c r="L439" s="15" t="n"/>
      <c r="M439" s="15" t="n"/>
      <c r="N439" s="15" t="n"/>
      <c r="O439" s="15" t="n"/>
    </row>
    <row r="440">
      <c r="A440" s="15" t="n"/>
      <c r="B440" s="15" t="n"/>
      <c r="C440" s="15" t="n"/>
      <c r="D440" s="15" t="n"/>
      <c r="E440" s="15" t="n"/>
      <c r="F440" s="15" t="n"/>
      <c r="G440" s="15" t="n"/>
      <c r="H440" s="15" t="n"/>
      <c r="I440" s="15" t="n"/>
      <c r="J440" s="15" t="n"/>
      <c r="K440" s="15" t="n"/>
      <c r="L440" s="15" t="n"/>
      <c r="M440" s="15" t="n"/>
      <c r="N440" s="15" t="n"/>
      <c r="O440" s="15" t="n"/>
    </row>
    <row r="441">
      <c r="A441" s="15" t="n"/>
      <c r="B441" s="15" t="n"/>
      <c r="C441" s="15" t="n"/>
      <c r="D441" s="15" t="n"/>
      <c r="E441" s="15" t="n"/>
      <c r="F441" s="15" t="n"/>
      <c r="G441" s="15" t="n"/>
      <c r="H441" s="15" t="n"/>
      <c r="I441" s="15" t="n"/>
      <c r="J441" s="15" t="n"/>
      <c r="K441" s="15" t="n"/>
      <c r="L441" s="15" t="n"/>
      <c r="M441" s="15" t="n"/>
      <c r="N441" s="15" t="n"/>
      <c r="O441" s="15" t="n"/>
    </row>
    <row r="442">
      <c r="A442" s="15" t="n"/>
      <c r="B442" s="15" t="n"/>
      <c r="C442" s="15" t="n"/>
      <c r="D442" s="15" t="n"/>
      <c r="E442" s="15" t="n"/>
      <c r="F442" s="15" t="n"/>
      <c r="G442" s="15" t="n"/>
      <c r="H442" s="15" t="n"/>
      <c r="I442" s="15" t="n"/>
      <c r="J442" s="15" t="n"/>
      <c r="K442" s="15" t="n"/>
      <c r="L442" s="15" t="n"/>
      <c r="M442" s="15" t="n"/>
      <c r="N442" s="15" t="n"/>
      <c r="O442" s="15" t="n"/>
    </row>
    <row r="443">
      <c r="A443" s="15" t="n"/>
      <c r="B443" s="15" t="n"/>
      <c r="C443" s="15" t="n"/>
      <c r="D443" s="15" t="n"/>
      <c r="E443" s="15" t="n"/>
      <c r="F443" s="15" t="n"/>
      <c r="G443" s="15" t="n"/>
      <c r="H443" s="15" t="n"/>
      <c r="I443" s="15" t="n"/>
      <c r="J443" s="15" t="n"/>
      <c r="K443" s="15" t="n"/>
      <c r="L443" s="15" t="n"/>
      <c r="M443" s="15" t="n"/>
      <c r="N443" s="15" t="n"/>
      <c r="O443" s="15" t="n"/>
    </row>
    <row r="444">
      <c r="A444" s="15" t="n"/>
      <c r="B444" s="15" t="n"/>
      <c r="C444" s="15" t="n"/>
      <c r="D444" s="15" t="n"/>
      <c r="E444" s="15" t="n"/>
      <c r="F444" s="15" t="n"/>
      <c r="G444" s="15" t="n"/>
      <c r="H444" s="15" t="n"/>
      <c r="I444" s="15" t="n"/>
      <c r="J444" s="15" t="n"/>
      <c r="K444" s="15" t="n"/>
      <c r="L444" s="15" t="n"/>
      <c r="M444" s="15" t="n"/>
      <c r="N444" s="15" t="n"/>
      <c r="O444" s="15" t="n"/>
    </row>
    <row r="445">
      <c r="A445" s="15" t="n"/>
      <c r="B445" s="15" t="n"/>
      <c r="C445" s="15" t="n"/>
      <c r="D445" s="15" t="n"/>
      <c r="E445" s="15" t="n"/>
      <c r="F445" s="15" t="n"/>
      <c r="G445" s="15" t="n"/>
      <c r="H445" s="15" t="n"/>
      <c r="I445" s="15" t="n"/>
      <c r="J445" s="15" t="n"/>
      <c r="K445" s="15" t="n"/>
      <c r="L445" s="15" t="n"/>
      <c r="M445" s="15" t="n"/>
      <c r="N445" s="15" t="n"/>
      <c r="O445" s="15" t="n"/>
    </row>
    <row r="446">
      <c r="A446" s="15" t="n"/>
      <c r="B446" s="15" t="n"/>
      <c r="C446" s="15" t="n"/>
      <c r="D446" s="15" t="n"/>
      <c r="E446" s="15" t="n"/>
      <c r="F446" s="15" t="n"/>
      <c r="G446" s="15" t="n"/>
      <c r="H446" s="15" t="n"/>
      <c r="I446" s="15" t="n"/>
      <c r="J446" s="15" t="n"/>
      <c r="K446" s="15" t="n"/>
      <c r="L446" s="15" t="n"/>
      <c r="M446" s="15" t="n"/>
      <c r="N446" s="15" t="n"/>
      <c r="O446" s="15" t="n"/>
    </row>
    <row r="447">
      <c r="A447" s="15" t="n"/>
      <c r="B447" s="15" t="n"/>
      <c r="C447" s="15" t="n"/>
      <c r="D447" s="15" t="n"/>
      <c r="E447" s="15" t="n"/>
      <c r="F447" s="15" t="n"/>
      <c r="G447" s="15" t="n"/>
      <c r="H447" s="15" t="n"/>
      <c r="I447" s="15" t="n"/>
      <c r="J447" s="15" t="n"/>
      <c r="K447" s="15" t="n"/>
      <c r="L447" s="15" t="n"/>
      <c r="M447" s="15" t="n"/>
      <c r="N447" s="15" t="n"/>
      <c r="O447" s="15" t="n"/>
    </row>
    <row r="448">
      <c r="A448" s="15" t="n"/>
      <c r="B448" s="15" t="n"/>
      <c r="C448" s="15" t="n"/>
      <c r="D448" s="15" t="n"/>
      <c r="E448" s="15" t="n"/>
      <c r="F448" s="15" t="n"/>
      <c r="G448" s="15" t="n"/>
      <c r="H448" s="15" t="n"/>
      <c r="I448" s="15" t="n"/>
      <c r="J448" s="15" t="n"/>
      <c r="K448" s="15" t="n"/>
      <c r="L448" s="15" t="n"/>
      <c r="M448" s="15" t="n"/>
      <c r="N448" s="15" t="n"/>
      <c r="O448" s="15" t="n"/>
    </row>
    <row r="449">
      <c r="A449" s="15" t="n"/>
      <c r="B449" s="15" t="n"/>
      <c r="C449" s="15" t="n"/>
      <c r="D449" s="15" t="n"/>
      <c r="E449" s="15" t="n"/>
      <c r="F449" s="15" t="n"/>
      <c r="G449" s="15" t="n"/>
      <c r="H449" s="15" t="n"/>
      <c r="I449" s="15" t="n"/>
      <c r="J449" s="15" t="n"/>
      <c r="K449" s="15" t="n"/>
      <c r="L449" s="15" t="n"/>
      <c r="M449" s="15" t="n"/>
      <c r="N449" s="15" t="n"/>
      <c r="O449" s="15" t="n"/>
    </row>
    <row r="450">
      <c r="A450" s="15" t="n"/>
      <c r="B450" s="15" t="n"/>
      <c r="C450" s="15" t="n"/>
      <c r="D450" s="15" t="n"/>
      <c r="E450" s="15" t="n"/>
      <c r="F450" s="15" t="n"/>
      <c r="G450" s="15" t="n"/>
      <c r="H450" s="15" t="n"/>
      <c r="I450" s="15" t="n"/>
      <c r="J450" s="15" t="n"/>
      <c r="K450" s="15" t="n"/>
      <c r="L450" s="15" t="n"/>
      <c r="M450" s="15" t="n"/>
      <c r="N450" s="15" t="n"/>
      <c r="O450" s="15" t="n"/>
    </row>
    <row r="451">
      <c r="A451" s="15" t="n"/>
      <c r="B451" s="15" t="n"/>
      <c r="C451" s="15" t="n"/>
      <c r="D451" s="15" t="n"/>
      <c r="E451" s="15" t="n"/>
      <c r="F451" s="15" t="n"/>
      <c r="G451" s="15" t="n"/>
      <c r="H451" s="15" t="n"/>
      <c r="I451" s="15" t="n"/>
      <c r="J451" s="15" t="n"/>
      <c r="K451" s="15" t="n"/>
      <c r="L451" s="15" t="n"/>
      <c r="M451" s="15" t="n"/>
      <c r="N451" s="15" t="n"/>
      <c r="O451" s="15" t="n"/>
    </row>
    <row r="452">
      <c r="A452" s="15" t="n"/>
      <c r="B452" s="15" t="n"/>
      <c r="C452" s="15" t="n"/>
      <c r="D452" s="15" t="n"/>
      <c r="E452" s="15" t="n"/>
      <c r="F452" s="15" t="n"/>
      <c r="G452" s="15" t="n"/>
      <c r="H452" s="15" t="n"/>
      <c r="I452" s="15" t="n"/>
      <c r="J452" s="15" t="n"/>
      <c r="K452" s="15" t="n"/>
      <c r="L452" s="15" t="n"/>
      <c r="M452" s="15" t="n"/>
      <c r="N452" s="15" t="n"/>
      <c r="O452" s="15" t="n"/>
    </row>
    <row r="453">
      <c r="A453" s="15" t="n"/>
      <c r="B453" s="15" t="n"/>
      <c r="C453" s="15" t="n"/>
      <c r="D453" s="15" t="n"/>
      <c r="E453" s="15" t="n"/>
      <c r="F453" s="15" t="n"/>
      <c r="G453" s="15" t="n"/>
      <c r="H453" s="15" t="n"/>
      <c r="I453" s="15" t="n"/>
      <c r="J453" s="15" t="n"/>
      <c r="K453" s="15" t="n"/>
      <c r="L453" s="15" t="n"/>
      <c r="M453" s="15" t="n"/>
      <c r="N453" s="15" t="n"/>
      <c r="O453" s="15" t="n"/>
    </row>
    <row r="454">
      <c r="A454" s="15" t="n"/>
      <c r="B454" s="15" t="n"/>
      <c r="C454" s="15" t="n"/>
      <c r="D454" s="15" t="n"/>
      <c r="E454" s="15" t="n"/>
      <c r="F454" s="15" t="n"/>
      <c r="G454" s="15" t="n"/>
      <c r="H454" s="15" t="n"/>
      <c r="I454" s="15" t="n"/>
      <c r="J454" s="15" t="n"/>
      <c r="K454" s="15" t="n"/>
      <c r="L454" s="15" t="n"/>
      <c r="M454" s="15" t="n"/>
      <c r="N454" s="15" t="n"/>
      <c r="O454" s="15" t="n"/>
    </row>
    <row r="455">
      <c r="A455" s="15" t="n"/>
      <c r="B455" s="15" t="n"/>
      <c r="C455" s="15" t="n"/>
      <c r="D455" s="15" t="n"/>
      <c r="E455" s="15" t="n"/>
      <c r="F455" s="15" t="n"/>
      <c r="G455" s="15" t="n"/>
      <c r="H455" s="15" t="n"/>
      <c r="I455" s="15" t="n"/>
      <c r="J455" s="15" t="n"/>
      <c r="K455" s="15" t="n"/>
      <c r="L455" s="15" t="n"/>
      <c r="M455" s="15" t="n"/>
      <c r="N455" s="15" t="n"/>
      <c r="O455" s="15" t="n"/>
    </row>
    <row r="456">
      <c r="A456" s="15" t="n"/>
      <c r="B456" s="15" t="n"/>
      <c r="C456" s="15" t="n"/>
      <c r="D456" s="15" t="n"/>
      <c r="E456" s="15" t="n"/>
      <c r="F456" s="15" t="n"/>
      <c r="G456" s="15" t="n"/>
      <c r="H456" s="15" t="n"/>
      <c r="I456" s="15" t="n"/>
      <c r="J456" s="15" t="n"/>
      <c r="K456" s="15" t="n"/>
      <c r="L456" s="15" t="n"/>
      <c r="M456" s="15" t="n"/>
      <c r="N456" s="15" t="n"/>
      <c r="O456" s="15" t="n"/>
    </row>
    <row r="457">
      <c r="A457" s="15" t="n"/>
      <c r="B457" s="15" t="n"/>
      <c r="C457" s="15" t="n"/>
      <c r="D457" s="15" t="n"/>
      <c r="E457" s="15" t="n"/>
      <c r="F457" s="15" t="n"/>
      <c r="G457" s="15" t="n"/>
      <c r="H457" s="15" t="n"/>
      <c r="I457" s="15" t="n"/>
      <c r="J457" s="15" t="n"/>
      <c r="K457" s="15" t="n"/>
      <c r="L457" s="15" t="n"/>
      <c r="M457" s="15" t="n"/>
      <c r="N457" s="15" t="n"/>
      <c r="O457" s="15" t="n"/>
    </row>
    <row r="458">
      <c r="A458" s="15" t="n"/>
      <c r="B458" s="15" t="n"/>
      <c r="C458" s="15" t="n"/>
      <c r="D458" s="15" t="n"/>
      <c r="E458" s="15" t="n"/>
      <c r="F458" s="15" t="n"/>
      <c r="G458" s="15" t="n"/>
      <c r="H458" s="15" t="n"/>
      <c r="I458" s="15" t="n"/>
      <c r="J458" s="15" t="n"/>
      <c r="K458" s="15" t="n"/>
      <c r="L458" s="15" t="n"/>
      <c r="M458" s="15" t="n"/>
      <c r="N458" s="15" t="n"/>
      <c r="O458" s="15" t="n"/>
    </row>
    <row r="459">
      <c r="A459" s="15" t="n"/>
      <c r="B459" s="15" t="n"/>
      <c r="C459" s="15" t="n"/>
      <c r="D459" s="15" t="n"/>
      <c r="E459" s="15" t="n"/>
      <c r="F459" s="15" t="n"/>
      <c r="G459" s="15" t="n"/>
      <c r="H459" s="15" t="n"/>
      <c r="I459" s="15" t="n"/>
      <c r="J459" s="15" t="n"/>
      <c r="K459" s="15" t="n"/>
      <c r="L459" s="15" t="n"/>
      <c r="M459" s="15" t="n"/>
      <c r="N459" s="15" t="n"/>
      <c r="O459" s="15" t="n"/>
    </row>
    <row r="460">
      <c r="A460" s="15" t="n"/>
      <c r="B460" s="15" t="n"/>
      <c r="C460" s="15" t="n"/>
      <c r="D460" s="15" t="n"/>
      <c r="E460" s="15" t="n"/>
      <c r="F460" s="15" t="n"/>
      <c r="G460" s="15" t="n"/>
      <c r="H460" s="15" t="n"/>
      <c r="I460" s="15" t="n"/>
      <c r="J460" s="15" t="n"/>
      <c r="K460" s="15" t="n"/>
      <c r="L460" s="15" t="n"/>
      <c r="M460" s="15" t="n"/>
      <c r="N460" s="15" t="n"/>
      <c r="O460" s="15" t="n"/>
    </row>
    <row r="461">
      <c r="A461" s="15" t="n"/>
      <c r="B461" s="15" t="n"/>
      <c r="C461" s="15" t="n"/>
      <c r="D461" s="15" t="n"/>
      <c r="E461" s="15" t="n"/>
      <c r="F461" s="15" t="n"/>
      <c r="G461" s="15" t="n"/>
      <c r="H461" s="15" t="n"/>
      <c r="I461" s="15" t="n"/>
      <c r="J461" s="15" t="n"/>
      <c r="K461" s="15" t="n"/>
      <c r="L461" s="15" t="n"/>
      <c r="M461" s="15" t="n"/>
      <c r="N461" s="15" t="n"/>
      <c r="O461" s="15" t="n"/>
    </row>
    <row r="462">
      <c r="A462" s="15" t="n"/>
      <c r="B462" s="15" t="n"/>
      <c r="C462" s="15" t="n"/>
      <c r="D462" s="15" t="n"/>
      <c r="E462" s="15" t="n"/>
      <c r="F462" s="15" t="n"/>
      <c r="G462" s="15" t="n"/>
      <c r="H462" s="15" t="n"/>
      <c r="I462" s="15" t="n"/>
      <c r="J462" s="15" t="n"/>
      <c r="K462" s="15" t="n"/>
      <c r="L462" s="15" t="n"/>
      <c r="M462" s="15" t="n"/>
      <c r="N462" s="15" t="n"/>
      <c r="O462" s="15" t="n"/>
    </row>
    <row r="463">
      <c r="A463" s="15" t="n"/>
      <c r="B463" s="15" t="n"/>
      <c r="C463" s="15" t="n"/>
      <c r="D463" s="15" t="n"/>
      <c r="E463" s="15" t="n"/>
      <c r="F463" s="15" t="n"/>
      <c r="G463" s="15" t="n"/>
      <c r="H463" s="15" t="n"/>
      <c r="I463" s="15" t="n"/>
      <c r="J463" s="15" t="n"/>
      <c r="K463" s="15" t="n"/>
      <c r="L463" s="15" t="n"/>
      <c r="M463" s="15" t="n"/>
      <c r="N463" s="15" t="n"/>
      <c r="O463" s="15" t="n"/>
    </row>
    <row r="464">
      <c r="A464" s="15" t="n"/>
      <c r="B464" s="15" t="n"/>
      <c r="C464" s="15" t="n"/>
      <c r="D464" s="15" t="n"/>
      <c r="E464" s="15" t="n"/>
      <c r="F464" s="15" t="n"/>
      <c r="G464" s="15" t="n"/>
      <c r="H464" s="15" t="n"/>
      <c r="I464" s="15" t="n"/>
      <c r="J464" s="15" t="n"/>
      <c r="K464" s="15" t="n"/>
      <c r="L464" s="15" t="n"/>
      <c r="M464" s="15" t="n"/>
      <c r="N464" s="15" t="n"/>
      <c r="O464" s="15" t="n"/>
    </row>
    <row r="465">
      <c r="A465" s="15" t="n"/>
      <c r="B465" s="15" t="n"/>
      <c r="C465" s="15" t="n"/>
      <c r="D465" s="15" t="n"/>
      <c r="E465" s="15" t="n"/>
      <c r="F465" s="15" t="n"/>
      <c r="G465" s="15" t="n"/>
      <c r="H465" s="15" t="n"/>
      <c r="I465" s="15" t="n"/>
      <c r="J465" s="15" t="n"/>
      <c r="K465" s="15" t="n"/>
      <c r="L465" s="15" t="n"/>
      <c r="M465" s="15" t="n"/>
      <c r="N465" s="15" t="n"/>
      <c r="O465" s="15" t="n"/>
    </row>
    <row r="466">
      <c r="A466" s="15" t="n"/>
      <c r="B466" s="15" t="n"/>
      <c r="C466" s="15" t="n"/>
      <c r="D466" s="15" t="n"/>
      <c r="E466" s="15" t="n"/>
      <c r="F466" s="15" t="n"/>
      <c r="G466" s="15" t="n"/>
      <c r="H466" s="15" t="n"/>
      <c r="I466" s="15" t="n"/>
      <c r="J466" s="15" t="n"/>
      <c r="K466" s="15" t="n"/>
      <c r="L466" s="15" t="n"/>
      <c r="M466" s="15" t="n"/>
      <c r="N466" s="15" t="n"/>
      <c r="O466" s="15" t="n"/>
    </row>
    <row r="467">
      <c r="A467" s="15" t="n"/>
      <c r="B467" s="15" t="n"/>
      <c r="C467" s="15" t="n"/>
      <c r="D467" s="15" t="n"/>
      <c r="E467" s="15" t="n"/>
      <c r="F467" s="15" t="n"/>
      <c r="G467" s="15" t="n"/>
      <c r="H467" s="15" t="n"/>
      <c r="I467" s="15" t="n"/>
      <c r="J467" s="15" t="n"/>
      <c r="K467" s="15" t="n"/>
      <c r="L467" s="15" t="n"/>
      <c r="M467" s="15" t="n"/>
      <c r="N467" s="15" t="n"/>
      <c r="O467" s="15" t="n"/>
    </row>
    <row r="468">
      <c r="A468" s="15" t="n"/>
      <c r="B468" s="15" t="n"/>
      <c r="C468" s="15" t="n"/>
      <c r="D468" s="15" t="n"/>
      <c r="E468" s="15" t="n"/>
      <c r="F468" s="15" t="n"/>
      <c r="G468" s="15" t="n"/>
      <c r="H468" s="15" t="n"/>
      <c r="I468" s="15" t="n"/>
      <c r="J468" s="15" t="n"/>
      <c r="K468" s="15" t="n"/>
      <c r="L468" s="15" t="n"/>
      <c r="M468" s="15" t="n"/>
      <c r="N468" s="15" t="n"/>
      <c r="O468" s="15" t="n"/>
    </row>
    <row r="469">
      <c r="A469" s="15" t="n"/>
      <c r="B469" s="15" t="n"/>
      <c r="C469" s="15" t="n"/>
      <c r="D469" s="15" t="n"/>
      <c r="E469" s="15" t="n"/>
      <c r="F469" s="15" t="n"/>
      <c r="G469" s="15" t="n"/>
      <c r="H469" s="15" t="n"/>
      <c r="I469" s="15" t="n"/>
      <c r="J469" s="15" t="n"/>
      <c r="K469" s="15" t="n"/>
      <c r="L469" s="15" t="n"/>
      <c r="M469" s="15" t="n"/>
      <c r="N469" s="15" t="n"/>
      <c r="O469" s="15" t="n"/>
    </row>
    <row r="470">
      <c r="A470" s="15" t="n"/>
      <c r="B470" s="15" t="n"/>
      <c r="C470" s="15" t="n"/>
      <c r="D470" s="15" t="n"/>
      <c r="E470" s="15" t="n"/>
      <c r="F470" s="15" t="n"/>
      <c r="G470" s="15" t="n"/>
      <c r="H470" s="15" t="n"/>
      <c r="I470" s="15" t="n"/>
      <c r="J470" s="15" t="n"/>
      <c r="K470" s="15" t="n"/>
      <c r="L470" s="15" t="n"/>
      <c r="M470" s="15" t="n"/>
      <c r="N470" s="15" t="n"/>
      <c r="O470" s="15" t="n"/>
    </row>
    <row r="471">
      <c r="A471" s="15" t="n"/>
      <c r="B471" s="15" t="n"/>
      <c r="C471" s="15" t="n"/>
      <c r="D471" s="15" t="n"/>
      <c r="E471" s="15" t="n"/>
      <c r="F471" s="15" t="n"/>
      <c r="G471" s="15" t="n"/>
      <c r="H471" s="15" t="n"/>
      <c r="I471" s="15" t="n"/>
      <c r="J471" s="15" t="n"/>
      <c r="K471" s="15" t="n"/>
      <c r="L471" s="15" t="n"/>
      <c r="M471" s="15" t="n"/>
      <c r="N471" s="15" t="n"/>
      <c r="O471" s="15" t="n"/>
    </row>
    <row r="472">
      <c r="A472" s="15" t="n"/>
      <c r="B472" s="15" t="n"/>
      <c r="C472" s="15" t="n"/>
      <c r="D472" s="15" t="n"/>
      <c r="E472" s="15" t="n"/>
      <c r="F472" s="15" t="n"/>
      <c r="G472" s="15" t="n"/>
      <c r="H472" s="15" t="n"/>
      <c r="I472" s="15" t="n"/>
      <c r="J472" s="15" t="n"/>
      <c r="K472" s="15" t="n"/>
      <c r="L472" s="15" t="n"/>
      <c r="M472" s="15" t="n"/>
      <c r="N472" s="15" t="n"/>
      <c r="O472" s="15" t="n"/>
    </row>
    <row r="473">
      <c r="A473" s="15" t="n"/>
      <c r="B473" s="15" t="n"/>
      <c r="C473" s="15" t="n"/>
      <c r="D473" s="15" t="n"/>
      <c r="E473" s="15" t="n"/>
      <c r="F473" s="15" t="n"/>
      <c r="G473" s="15" t="n"/>
      <c r="H473" s="15" t="n"/>
      <c r="I473" s="15" t="n"/>
      <c r="J473" s="15" t="n"/>
      <c r="K473" s="15" t="n"/>
      <c r="L473" s="15" t="n"/>
      <c r="M473" s="15" t="n"/>
      <c r="N473" s="15" t="n"/>
      <c r="O473" s="15" t="n"/>
    </row>
    <row r="474">
      <c r="A474" s="15" t="n"/>
      <c r="B474" s="15" t="n"/>
      <c r="C474" s="15" t="n"/>
      <c r="D474" s="15" t="n"/>
      <c r="E474" s="15" t="n"/>
      <c r="F474" s="15" t="n"/>
      <c r="G474" s="15" t="n"/>
      <c r="H474" s="15" t="n"/>
      <c r="I474" s="15" t="n"/>
      <c r="J474" s="15" t="n"/>
      <c r="K474" s="15" t="n"/>
      <c r="L474" s="15" t="n"/>
      <c r="M474" s="15" t="n"/>
      <c r="N474" s="15" t="n"/>
      <c r="O474" s="15" t="n"/>
    </row>
    <row r="475">
      <c r="A475" s="15" t="n"/>
      <c r="B475" s="15" t="n"/>
      <c r="C475" s="15" t="n"/>
      <c r="D475" s="15" t="n"/>
      <c r="E475" s="15" t="n"/>
      <c r="F475" s="15" t="n"/>
      <c r="G475" s="15" t="n"/>
      <c r="H475" s="15" t="n"/>
      <c r="I475" s="15" t="n"/>
      <c r="J475" s="15" t="n"/>
      <c r="K475" s="15" t="n"/>
      <c r="L475" s="15" t="n"/>
      <c r="M475" s="15" t="n"/>
      <c r="N475" s="15" t="n"/>
      <c r="O475" s="15" t="n"/>
    </row>
    <row r="476">
      <c r="A476" s="15" t="n"/>
      <c r="B476" s="15" t="n"/>
      <c r="C476" s="15" t="n"/>
      <c r="D476" s="15" t="n"/>
      <c r="E476" s="15" t="n"/>
      <c r="F476" s="15" t="n"/>
      <c r="G476" s="15" t="n"/>
      <c r="H476" s="15" t="n"/>
      <c r="I476" s="15" t="n"/>
      <c r="J476" s="15" t="n"/>
      <c r="K476" s="15" t="n"/>
      <c r="L476" s="15" t="n"/>
      <c r="M476" s="15" t="n"/>
      <c r="N476" s="15" t="n"/>
      <c r="O476" s="15" t="n"/>
    </row>
    <row r="477">
      <c r="A477" s="15" t="n"/>
      <c r="B477" s="15" t="n"/>
      <c r="C477" s="15" t="n"/>
      <c r="D477" s="15" t="n"/>
      <c r="E477" s="15" t="n"/>
      <c r="F477" s="15" t="n"/>
      <c r="G477" s="15" t="n"/>
      <c r="H477" s="15" t="n"/>
      <c r="I477" s="15" t="n"/>
      <c r="J477" s="15" t="n"/>
      <c r="K477" s="15" t="n"/>
      <c r="L477" s="15" t="n"/>
      <c r="M477" s="15" t="n"/>
      <c r="N477" s="15" t="n"/>
      <c r="O477" s="15" t="n"/>
    </row>
    <row r="478">
      <c r="A478" s="15" t="n"/>
      <c r="B478" s="15" t="n"/>
      <c r="C478" s="15" t="n"/>
      <c r="D478" s="15" t="n"/>
      <c r="E478" s="15" t="n"/>
      <c r="F478" s="15" t="n"/>
      <c r="G478" s="15" t="n"/>
      <c r="H478" s="15" t="n"/>
      <c r="I478" s="15" t="n"/>
      <c r="J478" s="15" t="n"/>
      <c r="K478" s="15" t="n"/>
      <c r="L478" s="15" t="n"/>
      <c r="M478" s="15" t="n"/>
      <c r="N478" s="15" t="n"/>
      <c r="O478" s="15" t="n"/>
    </row>
    <row r="479">
      <c r="A479" s="15" t="n"/>
      <c r="B479" s="15" t="n"/>
      <c r="C479" s="15" t="n"/>
      <c r="D479" s="15" t="n"/>
      <c r="E479" s="15" t="n"/>
      <c r="F479" s="15" t="n"/>
      <c r="G479" s="15" t="n"/>
      <c r="H479" s="15" t="n"/>
      <c r="I479" s="15" t="n"/>
      <c r="J479" s="15" t="n"/>
      <c r="K479" s="15" t="n"/>
      <c r="L479" s="15" t="n"/>
      <c r="M479" s="15" t="n"/>
      <c r="N479" s="15" t="n"/>
      <c r="O479" s="15" t="n"/>
    </row>
    <row r="480">
      <c r="A480" s="15" t="n"/>
      <c r="B480" s="15" t="n"/>
      <c r="C480" s="15" t="n"/>
      <c r="D480" s="15" t="n"/>
      <c r="E480" s="15" t="n"/>
      <c r="F480" s="15" t="n"/>
      <c r="G480" s="15" t="n"/>
      <c r="H480" s="15" t="n"/>
      <c r="I480" s="15" t="n"/>
      <c r="J480" s="15" t="n"/>
      <c r="K480" s="15" t="n"/>
      <c r="L480" s="15" t="n"/>
      <c r="M480" s="15" t="n"/>
      <c r="N480" s="15" t="n"/>
      <c r="O480" s="15" t="n"/>
    </row>
    <row r="481">
      <c r="A481" s="15" t="n"/>
      <c r="B481" s="15" t="n"/>
      <c r="C481" s="15" t="n"/>
      <c r="D481" s="15" t="n"/>
      <c r="E481" s="15" t="n"/>
      <c r="F481" s="15" t="n"/>
      <c r="G481" s="15" t="n"/>
      <c r="H481" s="15" t="n"/>
      <c r="I481" s="15" t="n"/>
      <c r="J481" s="15" t="n"/>
      <c r="K481" s="15" t="n"/>
      <c r="L481" s="15" t="n"/>
      <c r="M481" s="15" t="n"/>
      <c r="N481" s="15" t="n"/>
      <c r="O481" s="15" t="n"/>
    </row>
    <row r="482">
      <c r="A482" s="15" t="n"/>
      <c r="B482" s="15" t="n"/>
      <c r="C482" s="15" t="n"/>
      <c r="D482" s="15" t="n"/>
      <c r="E482" s="15" t="n"/>
      <c r="F482" s="15" t="n"/>
      <c r="G482" s="15" t="n"/>
      <c r="H482" s="15" t="n"/>
      <c r="I482" s="15" t="n"/>
      <c r="J482" s="15" t="n"/>
      <c r="K482" s="15" t="n"/>
      <c r="L482" s="15" t="n"/>
      <c r="M482" s="15" t="n"/>
      <c r="N482" s="15" t="n"/>
      <c r="O482" s="15" t="n"/>
    </row>
    <row r="483">
      <c r="A483" s="15" t="n"/>
      <c r="B483" s="15" t="n"/>
      <c r="C483" s="15" t="n"/>
      <c r="D483" s="15" t="n"/>
      <c r="E483" s="15" t="n"/>
      <c r="F483" s="15" t="n"/>
      <c r="G483" s="15" t="n"/>
      <c r="H483" s="15" t="n"/>
      <c r="I483" s="15" t="n"/>
      <c r="J483" s="15" t="n"/>
      <c r="K483" s="15" t="n"/>
      <c r="L483" s="15" t="n"/>
      <c r="M483" s="15" t="n"/>
      <c r="N483" s="15" t="n"/>
      <c r="O483" s="15" t="n"/>
    </row>
    <row r="484">
      <c r="A484" s="15" t="n"/>
      <c r="B484" s="15" t="n"/>
      <c r="C484" s="15" t="n"/>
      <c r="D484" s="15" t="n"/>
      <c r="E484" s="15" t="n"/>
      <c r="F484" s="15" t="n"/>
      <c r="G484" s="15" t="n"/>
      <c r="H484" s="15" t="n"/>
      <c r="I484" s="15" t="n"/>
      <c r="J484" s="15" t="n"/>
      <c r="K484" s="15" t="n"/>
      <c r="L484" s="15" t="n"/>
      <c r="M484" s="15" t="n"/>
      <c r="N484" s="15" t="n"/>
      <c r="O484" s="15" t="n"/>
    </row>
    <row r="485">
      <c r="A485" s="15" t="n"/>
      <c r="B485" s="15" t="n"/>
      <c r="C485" s="15" t="n"/>
      <c r="D485" s="15" t="n"/>
      <c r="E485" s="15" t="n"/>
      <c r="F485" s="15" t="n"/>
      <c r="G485" s="15" t="n"/>
      <c r="H485" s="15" t="n"/>
      <c r="I485" s="15" t="n"/>
      <c r="J485" s="15" t="n"/>
      <c r="K485" s="15" t="n"/>
      <c r="L485" s="15" t="n"/>
      <c r="M485" s="15" t="n"/>
      <c r="N485" s="15" t="n"/>
      <c r="O485" s="15" t="n"/>
    </row>
    <row r="486">
      <c r="A486" s="15" t="n"/>
      <c r="B486" s="15" t="n"/>
      <c r="C486" s="15" t="n"/>
      <c r="D486" s="15" t="n"/>
      <c r="E486" s="15" t="n"/>
      <c r="F486" s="15" t="n"/>
      <c r="G486" s="15" t="n"/>
      <c r="H486" s="15" t="n"/>
      <c r="I486" s="15" t="n"/>
      <c r="J486" s="15" t="n"/>
      <c r="K486" s="15" t="n"/>
      <c r="L486" s="15" t="n"/>
      <c r="M486" s="15" t="n"/>
      <c r="N486" s="15" t="n"/>
      <c r="O486" s="15" t="n"/>
    </row>
    <row r="487">
      <c r="A487" s="15" t="n"/>
      <c r="B487" s="15" t="n"/>
      <c r="C487" s="15" t="n"/>
      <c r="D487" s="15" t="n"/>
      <c r="E487" s="15" t="n"/>
      <c r="F487" s="15" t="n"/>
      <c r="G487" s="15" t="n"/>
      <c r="H487" s="15" t="n"/>
      <c r="I487" s="15" t="n"/>
      <c r="J487" s="15" t="n"/>
      <c r="K487" s="15" t="n"/>
      <c r="L487" s="15" t="n"/>
      <c r="M487" s="15" t="n"/>
      <c r="N487" s="15" t="n"/>
      <c r="O487" s="15" t="n"/>
    </row>
    <row r="488">
      <c r="A488" s="15" t="n"/>
      <c r="B488" s="15" t="n"/>
      <c r="C488" s="15" t="n"/>
      <c r="D488" s="15" t="n"/>
      <c r="E488" s="15" t="n"/>
      <c r="F488" s="15" t="n"/>
      <c r="G488" s="15" t="n"/>
      <c r="H488" s="15" t="n"/>
      <c r="I488" s="15" t="n"/>
      <c r="J488" s="15" t="n"/>
      <c r="K488" s="15" t="n"/>
      <c r="L488" s="15" t="n"/>
      <c r="M488" s="15" t="n"/>
      <c r="N488" s="15" t="n"/>
      <c r="O488" s="15" t="n"/>
    </row>
    <row r="489">
      <c r="A489" s="15" t="n"/>
      <c r="B489" s="15" t="n"/>
      <c r="C489" s="15" t="n"/>
      <c r="D489" s="15" t="n"/>
      <c r="E489" s="15" t="n"/>
      <c r="F489" s="15" t="n"/>
      <c r="G489" s="15" t="n"/>
      <c r="H489" s="15" t="n"/>
      <c r="I489" s="15" t="n"/>
      <c r="J489" s="15" t="n"/>
      <c r="K489" s="15" t="n"/>
      <c r="L489" s="15" t="n"/>
      <c r="M489" s="15" t="n"/>
      <c r="N489" s="15" t="n"/>
      <c r="O489" s="15" t="n"/>
    </row>
    <row r="490">
      <c r="A490" s="15" t="n"/>
      <c r="B490" s="15" t="n"/>
      <c r="C490" s="15" t="n"/>
      <c r="D490" s="15" t="n"/>
      <c r="E490" s="15" t="n"/>
      <c r="F490" s="15" t="n"/>
      <c r="G490" s="15" t="n"/>
      <c r="H490" s="15" t="n"/>
      <c r="I490" s="15" t="n"/>
      <c r="J490" s="15" t="n"/>
      <c r="K490" s="15" t="n"/>
      <c r="L490" s="15" t="n"/>
      <c r="M490" s="15" t="n"/>
      <c r="N490" s="15" t="n"/>
      <c r="O490" s="15" t="n"/>
    </row>
    <row r="491">
      <c r="A491" s="15" t="n"/>
      <c r="B491" s="15" t="n"/>
      <c r="C491" s="15" t="n"/>
      <c r="D491" s="15" t="n"/>
      <c r="E491" s="15" t="n"/>
      <c r="F491" s="15" t="n"/>
      <c r="G491" s="15" t="n"/>
      <c r="H491" s="15" t="n"/>
      <c r="I491" s="15" t="n"/>
      <c r="J491" s="15" t="n"/>
      <c r="K491" s="15" t="n"/>
      <c r="L491" s="15" t="n"/>
      <c r="M491" s="15" t="n"/>
      <c r="N491" s="15" t="n"/>
      <c r="O491" s="15" t="n"/>
    </row>
    <row r="492">
      <c r="A492" s="15" t="n"/>
      <c r="B492" s="15" t="n"/>
      <c r="C492" s="15" t="n"/>
      <c r="D492" s="15" t="n"/>
      <c r="E492" s="15" t="n"/>
      <c r="F492" s="15" t="n"/>
      <c r="G492" s="15" t="n"/>
      <c r="H492" s="15" t="n"/>
      <c r="I492" s="15" t="n"/>
      <c r="J492" s="15" t="n"/>
      <c r="K492" s="15" t="n"/>
      <c r="L492" s="15" t="n"/>
      <c r="M492" s="15" t="n"/>
      <c r="N492" s="15" t="n"/>
      <c r="O492" s="15" t="n"/>
    </row>
    <row r="493">
      <c r="A493" s="15" t="n"/>
      <c r="B493" s="15" t="n"/>
      <c r="C493" s="15" t="n"/>
      <c r="D493" s="15" t="n"/>
      <c r="E493" s="15" t="n"/>
      <c r="F493" s="15" t="n"/>
      <c r="G493" s="15" t="n"/>
      <c r="H493" s="15" t="n"/>
      <c r="I493" s="15" t="n"/>
      <c r="J493" s="15" t="n"/>
      <c r="K493" s="15" t="n"/>
      <c r="L493" s="15" t="n"/>
      <c r="M493" s="15" t="n"/>
      <c r="N493" s="15" t="n"/>
      <c r="O493" s="15" t="n"/>
    </row>
    <row r="494">
      <c r="A494" s="15" t="n"/>
      <c r="B494" s="15" t="n"/>
      <c r="C494" s="15" t="n"/>
      <c r="D494" s="15" t="n"/>
      <c r="E494" s="15" t="n"/>
      <c r="F494" s="15" t="n"/>
      <c r="G494" s="15" t="n"/>
      <c r="H494" s="15" t="n"/>
      <c r="I494" s="15" t="n"/>
      <c r="J494" s="15" t="n"/>
      <c r="K494" s="15" t="n"/>
      <c r="L494" s="15" t="n"/>
      <c r="M494" s="15" t="n"/>
      <c r="N494" s="15" t="n"/>
      <c r="O494" s="15" t="n"/>
    </row>
    <row r="495">
      <c r="A495" s="15" t="n"/>
      <c r="B495" s="15" t="n"/>
      <c r="C495" s="15" t="n"/>
      <c r="D495" s="15" t="n"/>
      <c r="E495" s="15" t="n"/>
      <c r="F495" s="15" t="n"/>
      <c r="G495" s="15" t="n"/>
      <c r="H495" s="15" t="n"/>
      <c r="I495" s="15" t="n"/>
      <c r="J495" s="15" t="n"/>
      <c r="K495" s="15" t="n"/>
      <c r="L495" s="15" t="n"/>
      <c r="M495" s="15" t="n"/>
      <c r="N495" s="15" t="n"/>
      <c r="O495" s="15" t="n"/>
    </row>
    <row r="496">
      <c r="A496" s="15" t="n"/>
      <c r="B496" s="15" t="n"/>
      <c r="C496" s="15" t="n"/>
      <c r="D496" s="15" t="n"/>
      <c r="E496" s="15" t="n"/>
      <c r="F496" s="15" t="n"/>
      <c r="G496" s="15" t="n"/>
      <c r="H496" s="15" t="n"/>
      <c r="I496" s="15" t="n"/>
      <c r="J496" s="15" t="n"/>
      <c r="K496" s="15" t="n"/>
      <c r="L496" s="15" t="n"/>
      <c r="M496" s="15" t="n"/>
      <c r="N496" s="15" t="n"/>
      <c r="O496" s="15" t="n"/>
    </row>
    <row r="497">
      <c r="A497" s="15" t="n"/>
      <c r="B497" s="15" t="n"/>
      <c r="C497" s="15" t="n"/>
      <c r="D497" s="15" t="n"/>
      <c r="E497" s="15" t="n"/>
      <c r="F497" s="15" t="n"/>
      <c r="G497" s="15" t="n"/>
      <c r="H497" s="15" t="n"/>
      <c r="I497" s="15" t="n"/>
      <c r="J497" s="15" t="n"/>
      <c r="K497" s="15" t="n"/>
      <c r="L497" s="15" t="n"/>
      <c r="M497" s="15" t="n"/>
      <c r="N497" s="15" t="n"/>
      <c r="O497" s="15" t="n"/>
    </row>
    <row r="498">
      <c r="A498" s="15" t="n"/>
      <c r="B498" s="15" t="n"/>
      <c r="C498" s="15" t="n"/>
      <c r="D498" s="15" t="n"/>
      <c r="E498" s="15" t="n"/>
      <c r="F498" s="15" t="n"/>
      <c r="G498" s="15" t="n"/>
      <c r="H498" s="15" t="n"/>
      <c r="I498" s="15" t="n"/>
      <c r="J498" s="15" t="n"/>
      <c r="K498" s="15" t="n"/>
      <c r="L498" s="15" t="n"/>
      <c r="M498" s="15" t="n"/>
      <c r="N498" s="15" t="n"/>
      <c r="O498" s="15" t="n"/>
    </row>
    <row r="499">
      <c r="A499" s="15" t="n"/>
      <c r="B499" s="15" t="n"/>
      <c r="C499" s="15" t="n"/>
      <c r="D499" s="15" t="n"/>
      <c r="E499" s="15" t="n"/>
      <c r="F499" s="15" t="n"/>
      <c r="G499" s="15" t="n"/>
      <c r="H499" s="15" t="n"/>
      <c r="I499" s="15" t="n"/>
      <c r="J499" s="15" t="n"/>
      <c r="K499" s="15" t="n"/>
      <c r="L499" s="15" t="n"/>
      <c r="M499" s="15" t="n"/>
      <c r="N499" s="15" t="n"/>
      <c r="O499" s="15" t="n"/>
    </row>
    <row r="500">
      <c r="A500" s="15" t="n"/>
      <c r="B500" s="15" t="n"/>
      <c r="C500" s="15" t="n"/>
      <c r="D500" s="15" t="n"/>
      <c r="E500" s="15" t="n"/>
      <c r="F500" s="15" t="n"/>
      <c r="G500" s="15" t="n"/>
      <c r="H500" s="15" t="n"/>
      <c r="I500" s="15" t="n"/>
      <c r="J500" s="15" t="n"/>
      <c r="K500" s="15" t="n"/>
      <c r="L500" s="15" t="n"/>
      <c r="M500" s="15" t="n"/>
      <c r="N500" s="15" t="n"/>
      <c r="O500" s="15" t="n"/>
    </row>
    <row r="501">
      <c r="A501" s="15" t="n"/>
      <c r="B501" s="15" t="n"/>
      <c r="C501" s="15" t="n"/>
      <c r="D501" s="15" t="n"/>
      <c r="E501" s="15" t="n"/>
      <c r="F501" s="15" t="n"/>
      <c r="G501" s="15" t="n"/>
      <c r="H501" s="15" t="n"/>
      <c r="I501" s="15" t="n"/>
      <c r="J501" s="15" t="n"/>
      <c r="K501" s="15" t="n"/>
      <c r="L501" s="15" t="n"/>
      <c r="M501" s="15" t="n"/>
      <c r="N501" s="15" t="n"/>
      <c r="O501" s="15" t="n"/>
    </row>
    <row r="502">
      <c r="A502" s="15" t="n"/>
      <c r="B502" s="15" t="n"/>
      <c r="C502" s="15" t="n"/>
      <c r="D502" s="15" t="n"/>
      <c r="E502" s="15" t="n"/>
      <c r="F502" s="15" t="n"/>
      <c r="G502" s="15" t="n"/>
      <c r="H502" s="15" t="n"/>
      <c r="I502" s="15" t="n"/>
      <c r="J502" s="15" t="n"/>
      <c r="K502" s="15" t="n"/>
      <c r="L502" s="15" t="n"/>
      <c r="M502" s="15" t="n"/>
      <c r="N502" s="15" t="n"/>
      <c r="O502" s="15" t="n"/>
    </row>
    <row r="503">
      <c r="A503" s="15" t="n"/>
      <c r="B503" s="15" t="n"/>
      <c r="C503" s="15" t="n"/>
      <c r="D503" s="15" t="n"/>
      <c r="E503" s="15" t="n"/>
      <c r="F503" s="15" t="n"/>
      <c r="G503" s="15" t="n"/>
      <c r="H503" s="15" t="n"/>
      <c r="I503" s="15" t="n"/>
      <c r="J503" s="15" t="n"/>
      <c r="K503" s="15" t="n"/>
      <c r="L503" s="15" t="n"/>
      <c r="M503" s="15" t="n"/>
      <c r="N503" s="15" t="n"/>
      <c r="O503" s="15" t="n"/>
    </row>
    <row r="504">
      <c r="A504" s="15" t="n"/>
      <c r="B504" s="15" t="n"/>
      <c r="C504" s="15" t="n"/>
      <c r="D504" s="15" t="n"/>
      <c r="E504" s="15" t="n"/>
      <c r="F504" s="15" t="n"/>
      <c r="G504" s="15" t="n"/>
      <c r="H504" s="15" t="n"/>
      <c r="I504" s="15" t="n"/>
      <c r="J504" s="15" t="n"/>
      <c r="K504" s="15" t="n"/>
      <c r="L504" s="15" t="n"/>
      <c r="M504" s="15" t="n"/>
      <c r="N504" s="15" t="n"/>
      <c r="O504" s="15" t="n"/>
    </row>
  </sheetData>
  <mergeCells count="2">
    <mergeCell ref="A1:O1"/>
    <mergeCell ref="A2:O2"/>
  </mergeCells>
  <conditionalFormatting sqref="A5:O1000">
    <cfRule type="expression" priority="1" dxfId="1">
      <formula>$F5="SAFETY ESCALATION"</formula>
    </cfRule>
  </conditionalFormatting>
  <dataValidations count="1">
    <dataValidation sqref="F5:F1000" showDropDown="0" showInputMessage="0" showErrorMessage="0" allowBlank="1" errorTitle="Giá trị không hợp lệ" error="Vui lòng chọn một giá trị trong danh sách." promptTitle="Trường chuẩn hóa" prompt="Chọn từ danh sách." type="list">
      <formula1>=Decision</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H15"/>
  <sheetViews>
    <sheetView showGridLines="0" workbookViewId="0">
      <pane ySplit="4" topLeftCell="A5" activePane="bottomLeft" state="frozen"/>
      <selection pane="bottomLeft" activeCell="A1" sqref="A1"/>
    </sheetView>
  </sheetViews>
  <sheetFormatPr baseColWidth="8" defaultRowHeight="15"/>
  <cols>
    <col width="16" customWidth="1" min="1" max="1"/>
    <col width="45" customWidth="1" min="2" max="2"/>
    <col width="38" customWidth="1" min="3" max="3"/>
    <col width="22" customWidth="1" min="4" max="4"/>
    <col width="16" customWidth="1" min="5" max="5"/>
    <col width="18" customWidth="1" min="6" max="6"/>
    <col width="40" customWidth="1" min="7" max="7"/>
    <col width="35" customWidth="1" min="8" max="8"/>
  </cols>
  <sheetData>
    <row r="1" ht="28" customHeight="1">
      <c r="A1" s="1" t="inlineStr">
        <is>
          <t>CHECKLIST THÍ ĐIỂM 90 NGÀY</t>
        </is>
      </c>
    </row>
    <row r="2" ht="34" customHeight="1">
      <c r="A2" s="2" t="inlineStr">
        <is>
          <t>Cập nhật người phụ trách, deadline, trạng thái và bằng chứng hoàn thành mỗi tuần.</t>
        </is>
      </c>
    </row>
    <row r="4" ht="38" customHeight="1">
      <c r="A4" s="3" t="inlineStr">
        <is>
          <t>Giai đoạn</t>
        </is>
      </c>
      <c r="B4" s="3" t="inlineStr">
        <is>
          <t>Công việc</t>
        </is>
      </c>
      <c r="C4" s="3" t="inlineStr">
        <is>
          <t>Kết quả bàn giao</t>
        </is>
      </c>
      <c r="D4" s="3" t="inlineStr">
        <is>
          <t>Người phụ trách</t>
        </is>
      </c>
      <c r="E4" s="3" t="inlineStr">
        <is>
          <t>Deadline</t>
        </is>
      </c>
      <c r="F4" s="3" t="inlineStr">
        <is>
          <t>Trạng thái</t>
        </is>
      </c>
      <c r="G4" s="3" t="inlineStr">
        <is>
          <t>Bằng chứng/link</t>
        </is>
      </c>
      <c r="H4" s="3" t="inlineStr">
        <is>
          <t>Ghi chú</t>
        </is>
      </c>
    </row>
    <row r="5">
      <c r="A5" s="15" t="inlineStr">
        <is>
          <t>Tuần 1</t>
        </is>
      </c>
      <c r="B5" s="15" t="inlineStr">
        <is>
          <t>Chỉ định Chủ Chương trình và thẩm quyền phê duyệt</t>
        </is>
      </c>
      <c r="C5" s="15" t="inlineStr">
        <is>
          <t>Charter; danh sách người duyệt</t>
        </is>
      </c>
      <c r="D5" s="15" t="n"/>
      <c r="E5" s="15" t="n"/>
      <c r="F5" s="15" t="inlineStr">
        <is>
          <t>Chưa bắt đầu</t>
        </is>
      </c>
      <c r="G5" s="15" t="n"/>
      <c r="H5" s="15" t="n"/>
    </row>
    <row r="6">
      <c r="A6" s="15" t="inlineStr">
        <is>
          <t>Tuần 2</t>
        </is>
      </c>
      <c r="B6" s="15" t="inlineStr">
        <is>
          <t>Chấm điểm và chọn 2 dự án thí điểm</t>
        </is>
      </c>
      <c r="C6" s="15" t="inlineStr">
        <is>
          <t>Hai project charter</t>
        </is>
      </c>
      <c r="D6" s="15" t="n"/>
      <c r="E6" s="15" t="n"/>
      <c r="F6" s="15" t="inlineStr">
        <is>
          <t>Chưa bắt đầu</t>
        </is>
      </c>
      <c r="G6" s="15" t="n"/>
      <c r="H6" s="15" t="n"/>
    </row>
    <row r="7">
      <c r="A7" s="15" t="inlineStr">
        <is>
          <t>Tuần 3</t>
        </is>
      </c>
      <c r="B7" s="15" t="inlineStr">
        <is>
          <t>Chọn 5–8 câu hỏi cho mỗi dự án</t>
        </is>
      </c>
      <c r="C7" s="15" t="inlineStr">
        <is>
          <t>Topic Registry</t>
        </is>
      </c>
      <c r="D7" s="15" t="n"/>
      <c r="E7" s="15" t="n"/>
      <c r="F7" s="15" t="inlineStr">
        <is>
          <t>Chưa bắt đầu</t>
        </is>
      </c>
      <c r="G7" s="15" t="n"/>
      <c r="H7" s="15" t="n"/>
    </row>
    <row r="8">
      <c r="A8" s="15" t="inlineStr">
        <is>
          <t>Tuần 4</t>
        </is>
      </c>
      <c r="B8" s="15" t="inlineStr">
        <is>
          <t>Xác minh baseline cho từng câu hỏi</t>
        </is>
      </c>
      <c r="C8" s="15" t="inlineStr">
        <is>
          <t>Baseline + phiên bản + PMID/DOI/URL</t>
        </is>
      </c>
      <c r="D8" s="15" t="n"/>
      <c r="E8" s="15" t="n"/>
      <c r="F8" s="15" t="inlineStr">
        <is>
          <t>Chưa bắt đầu</t>
        </is>
      </c>
      <c r="G8" s="15" t="n"/>
      <c r="H8" s="15" t="n"/>
    </row>
    <row r="9">
      <c r="A9" s="15" t="inlineStr">
        <is>
          <t>Tuần 5</t>
        </is>
      </c>
      <c r="B9" s="15" t="inlineStr">
        <is>
          <t>Thiết lập nguồn và chiến lược giám sát</t>
        </is>
      </c>
      <c r="C9" s="15" t="inlineStr">
        <is>
          <t>Source Registry + Search Log</t>
        </is>
      </c>
      <c r="D9" s="15" t="n"/>
      <c r="E9" s="15" t="n"/>
      <c r="F9" s="15" t="inlineStr">
        <is>
          <t>Chưa bắt đầu</t>
        </is>
      </c>
      <c r="G9" s="15" t="n"/>
      <c r="H9" s="15" t="n"/>
    </row>
    <row r="10">
      <c r="A10" s="15" t="inlineStr">
        <is>
          <t>Tuần 6</t>
        </is>
      </c>
      <c r="B10" s="15" t="inlineStr">
        <is>
          <t>Hiệu chuẩn thẩm định giữa hai người</t>
        </is>
      </c>
      <c r="C10" s="15" t="inlineStr">
        <is>
          <t>Ví dụ mẫu và quy ước</t>
        </is>
      </c>
      <c r="D10" s="15" t="n"/>
      <c r="E10" s="15" t="n"/>
      <c r="F10" s="15" t="inlineStr">
        <is>
          <t>Chưa bắt đầu</t>
        </is>
      </c>
      <c r="G10" s="15" t="n"/>
      <c r="H10" s="15" t="n"/>
    </row>
    <row r="11">
      <c r="A11" s="15" t="inlineStr">
        <is>
          <t>Tuần 7–8</t>
        </is>
      </c>
      <c r="B11" s="15" t="inlineStr">
        <is>
          <t>Chạy inbox và tạo phiếu</t>
        </is>
      </c>
      <c r="C11" s="15" t="inlineStr">
        <is>
          <t>≥2 phiếu nháp mỗi dự án</t>
        </is>
      </c>
      <c r="D11" s="15" t="n"/>
      <c r="E11" s="15" t="n"/>
      <c r="F11" s="15" t="inlineStr">
        <is>
          <t>Chưa bắt đầu</t>
        </is>
      </c>
      <c r="G11" s="15" t="n"/>
      <c r="H11" s="15" t="n"/>
    </row>
    <row r="12">
      <c r="A12" s="15" t="inlineStr">
        <is>
          <t>Tuần 9</t>
        </is>
      </c>
      <c r="B12" s="15" t="inlineStr">
        <is>
          <t>Phát hành bản tin thử nghiệm số 1</t>
        </is>
      </c>
      <c r="C12" s="15" t="inlineStr">
        <is>
          <t>Bản tin nhóm nhỏ</t>
        </is>
      </c>
      <c r="D12" s="15" t="n"/>
      <c r="E12" s="15" t="n"/>
      <c r="F12" s="15" t="inlineStr">
        <is>
          <t>Chưa bắt đầu</t>
        </is>
      </c>
      <c r="G12" s="15" t="n"/>
      <c r="H12" s="15" t="n"/>
    </row>
    <row r="13">
      <c r="A13" s="15" t="inlineStr">
        <is>
          <t>Tuần 10</t>
        </is>
      </c>
      <c r="B13" s="15" t="inlineStr">
        <is>
          <t>Thu phản hồi và sửa quy trình</t>
        </is>
      </c>
      <c r="C13" s="15" t="inlineStr">
        <is>
          <t>Changelog 0.2</t>
        </is>
      </c>
      <c r="D13" s="15" t="n"/>
      <c r="E13" s="15" t="n"/>
      <c r="F13" s="15" t="inlineStr">
        <is>
          <t>Chưa bắt đầu</t>
        </is>
      </c>
      <c r="G13" s="15" t="n"/>
      <c r="H13" s="15" t="n"/>
    </row>
    <row r="14">
      <c r="A14" s="15" t="inlineStr">
        <is>
          <t>Tuần 11</t>
        </is>
      </c>
      <c r="B14" s="15" t="inlineStr">
        <is>
          <t>Phát hành bản tin thử nghiệm số 2</t>
        </is>
      </c>
      <c r="C14" s="15" t="inlineStr">
        <is>
          <t>≥3 phiếu hoàn thành mỗi dự án</t>
        </is>
      </c>
      <c r="D14" s="15" t="n"/>
      <c r="E14" s="15" t="n"/>
      <c r="F14" s="15" t="inlineStr">
        <is>
          <t>Chưa bắt đầu</t>
        </is>
      </c>
      <c r="G14" s="15" t="n"/>
      <c r="H14" s="15" t="n"/>
    </row>
    <row r="15">
      <c r="A15" s="15" t="inlineStr">
        <is>
          <t>Tuần 12–13</t>
        </is>
      </c>
      <c r="B15" s="15" t="inlineStr">
        <is>
          <t>Đánh giá KPI và quyết định mở rộng</t>
        </is>
      </c>
      <c r="C15" s="15" t="inlineStr">
        <is>
          <t>Quy trình 1.0 + báo cáo 90 ngày</t>
        </is>
      </c>
      <c r="D15" s="15" t="n"/>
      <c r="E15" s="15" t="n"/>
      <c r="F15" s="15" t="inlineStr">
        <is>
          <t>Chưa bắt đầu</t>
        </is>
      </c>
      <c r="G15" s="15" t="n"/>
      <c r="H15" s="15" t="n"/>
    </row>
  </sheetData>
  <mergeCells count="2">
    <mergeCell ref="A2:H2"/>
    <mergeCell ref="A1:H1"/>
  </mergeCells>
  <conditionalFormatting sqref="A5:H200">
    <cfRule type="expression" priority="1" dxfId="3">
      <formula>$F5="Đang hoạt động"</formula>
    </cfRule>
    <cfRule type="expression" priority="2" dxfId="0">
      <formula>$F5="Đã đóng"</formula>
    </cfRule>
  </conditionalFormatting>
  <dataValidations count="1">
    <dataValidation sqref="F5:F200" showDropDown="0" showInputMessage="0" showErrorMessage="0" allowBlank="1" errorTitle="Giá trị không hợp lệ" error="Vui lòng chọn một giá trị trong danh sách." promptTitle="Trường chuẩn hóa" prompt="Chọn từ danh sách." type="list">
      <formula1>=StatusProject</formula1>
    </dataValidation>
  </dataValidations>
  <pageMargins left="0.25" right="0.25" top="0.5" bottom="0.5"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2026-08-25T11:41:56Z</dcterms:created>
  <dcterms:modified xmlns:dcterms="http://purl.org/dc/terms/" xmlns:xsi="http://www.w3.org/2001/XMLSchema-instance" xsi:type="dcterms:W3CDTF">2026-09-07T10:36:26Z</dcterms:modified>
</cp:coreProperties>
</file>